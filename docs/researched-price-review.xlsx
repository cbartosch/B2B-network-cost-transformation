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eview log" sheetId="2" state="visible" r:id="rId2"/>
    <sheet xmlns:r="http://schemas.openxmlformats.org/officeDocument/2006/relationships" name="Prices" sheetId="3" state="visible" r:id="rId3"/>
    <sheet xmlns:r="http://schemas.openxmlformats.org/officeDocument/2006/relationships" name="Sets" sheetId="4" state="visible" r:id="rId4"/>
    <sheet xmlns:r="http://schemas.openxmlformats.org/officeDocument/2006/relationships" name="By company" sheetId="5" state="visible" r:id="rId5"/>
  </sheets>
  <definedNames>
    <definedName name="_xlnm._FilterDatabase" localSheetId="1" hidden="1">'Review log'!$A$14:$F$24</definedName>
    <definedName name="_xlnm._FilterDatabase" localSheetId="2" hidden="1">'Prices'!$A$1:$AA$60</definedName>
  </definedNames>
  <calcPr calcId="124519" calcMode="auto" fullCalcOnLoad="1" forceFullCalc="1"/>
</workbook>
</file>

<file path=xl/styles.xml><?xml version="1.0" encoding="utf-8"?>
<styleSheet xmlns="http://schemas.openxmlformats.org/spreadsheetml/2006/main">
  <numFmts count="3">
    <numFmt numFmtId="164" formatCode="#,##0;(#,##0);&quot;-&quot;"/>
    <numFmt numFmtId="165" formatCode="0.00x"/>
    <numFmt numFmtId="166" formatCode="0.0%;-0.0%;&quot;-&quot;"/>
  </numFmts>
  <fonts count="10">
    <font>
      <name val="Calibri"/>
      <family val="2"/>
      <color theme="1"/>
      <sz val="11"/>
      <scheme val="minor"/>
    </font>
    <font>
      <name val="Arial"/>
      <b val="1"/>
      <color rgb="00FFFFFF"/>
    </font>
    <font>
      <name val="Arial"/>
    </font>
    <font>
      <name val="Arial"/>
      <color rgb="000000FF"/>
    </font>
    <font>
      <name val="Arial"/>
      <b val="1"/>
    </font>
    <font>
      <name val="Arial"/>
      <b val="1"/>
      <sz val="14"/>
    </font>
    <font>
      <name val="Arial"/>
      <b val="1"/>
      <sz val="10"/>
    </font>
    <font>
      <name val="Arial"/>
      <b val="1"/>
      <color rgb="00FFFFFF"/>
      <sz val="14"/>
    </font>
    <font>
      <i val="1"/>
      <color rgb="00666666"/>
    </font>
    <font>
      <b val="1"/>
      <color rgb="00666666"/>
    </font>
  </fonts>
  <fills count="7">
    <fill>
      <patternFill/>
    </fill>
    <fill>
      <patternFill patternType="gray125"/>
    </fill>
    <fill>
      <patternFill patternType="solid">
        <fgColor rgb="001F3A5F"/>
      </patternFill>
    </fill>
    <fill>
      <patternFill patternType="solid">
        <fgColor rgb="00FFF2CC"/>
      </patternFill>
    </fill>
    <fill>
      <patternFill patternType="solid">
        <fgColor rgb="00E2EFDA"/>
      </patternFill>
    </fill>
    <fill>
      <patternFill patternType="solid">
        <fgColor rgb="00FCE4D6"/>
      </patternFill>
    </fill>
    <fill>
      <patternFill patternType="solid">
        <fgColor rgb="00F2F2F2"/>
      </patternFill>
    </fill>
  </fills>
  <borders count="2">
    <border>
      <left/>
      <right/>
      <top/>
      <bottom/>
      <diagonal/>
    </border>
    <border>
      <top style="thin">
        <color rgb="00A6A6A6"/>
      </top>
    </border>
  </borders>
  <cellStyleXfs count="1">
    <xf numFmtId="0" fontId="0" fillId="0" borderId="0"/>
  </cellStyleXfs>
  <cellXfs count="35">
    <xf numFmtId="0" fontId="0" fillId="0" borderId="0" pivotButton="0" quotePrefix="0" xfId="0"/>
    <xf numFmtId="0" fontId="5" fillId="0" borderId="0" applyAlignment="1" pivotButton="0" quotePrefix="0" xfId="0">
      <alignment vertical="top"/>
    </xf>
    <xf numFmtId="0" fontId="6" fillId="0" borderId="0" applyAlignment="1" pivotButton="0" quotePrefix="0" xfId="0">
      <alignment vertical="top"/>
    </xf>
    <xf numFmtId="0" fontId="2" fillId="0" borderId="0" applyAlignment="1" pivotButton="0" quotePrefix="0" xfId="0">
      <alignment vertical="top" wrapText="1"/>
    </xf>
    <xf numFmtId="164" fontId="2" fillId="0" borderId="0" applyAlignment="1" pivotButton="0" quotePrefix="0" xfId="0">
      <alignment horizontal="left" vertical="top"/>
    </xf>
    <xf numFmtId="0" fontId="1" fillId="2" borderId="0" applyAlignment="1" pivotButton="0" quotePrefix="0" xfId="0">
      <alignment vertical="top" wrapText="1"/>
    </xf>
    <xf numFmtId="0" fontId="2" fillId="0" borderId="0" applyAlignment="1" pivotButton="0" quotePrefix="0" xfId="0">
      <alignment vertical="top"/>
    </xf>
    <xf numFmtId="0" fontId="2" fillId="4" borderId="0" applyAlignment="1" pivotButton="0" quotePrefix="0" xfId="0">
      <alignment vertical="top"/>
    </xf>
    <xf numFmtId="0" fontId="3" fillId="3" borderId="0" applyAlignment="1" pivotButton="0" quotePrefix="0" xfId="0">
      <alignment vertical="top"/>
    </xf>
    <xf numFmtId="4" fontId="3" fillId="3" borderId="0" applyAlignment="1" pivotButton="0" quotePrefix="0" xfId="0">
      <alignment vertical="top"/>
    </xf>
    <xf numFmtId="4" fontId="2" fillId="0" borderId="0" applyAlignment="1" pivotButton="0" quotePrefix="0" xfId="0">
      <alignment vertical="top"/>
    </xf>
    <xf numFmtId="165" fontId="2" fillId="0" borderId="0" applyAlignment="1" pivotButton="0" quotePrefix="0" xfId="0">
      <alignment vertical="top"/>
    </xf>
    <xf numFmtId="164" fontId="2" fillId="0" borderId="0" applyAlignment="1" pivotButton="0" quotePrefix="0" xfId="0">
      <alignment vertical="top"/>
    </xf>
    <xf numFmtId="0" fontId="2" fillId="5" borderId="0" applyAlignment="1" pivotButton="0" quotePrefix="0" xfId="0">
      <alignment vertical="top"/>
    </xf>
    <xf numFmtId="0" fontId="2" fillId="6" borderId="0" applyAlignment="1" pivotButton="0" quotePrefix="0" xfId="0">
      <alignment vertical="top"/>
    </xf>
    <xf numFmtId="0" fontId="4" fillId="0" borderId="0" pivotButton="0" quotePrefix="0" xfId="0"/>
    <xf numFmtId="164" fontId="4" fillId="0" borderId="0" pivotButton="0" quotePrefix="0" xfId="0"/>
    <xf numFmtId="0" fontId="2" fillId="0" borderId="0" pivotButton="0" quotePrefix="0" xfId="0"/>
    <xf numFmtId="164" fontId="2" fillId="0" borderId="0" pivotButton="0" quotePrefix="0" xfId="0"/>
    <xf numFmtId="166" fontId="2" fillId="0" borderId="0" pivotButton="0" quotePrefix="0" xfId="0"/>
    <xf numFmtId="166" fontId="4" fillId="0" borderId="0" pivotButton="0" quotePrefix="0" xfId="0"/>
    <xf numFmtId="164" fontId="2" fillId="0" borderId="0" applyAlignment="1" pivotButton="0" quotePrefix="0" xfId="0">
      <alignment horizontal="left" vertical="top"/>
    </xf>
    <xf numFmtId="0" fontId="7" fillId="2" borderId="0" applyAlignment="1" pivotButton="0" quotePrefix="0" xfId="0">
      <alignment horizontal="left" vertical="center"/>
    </xf>
    <xf numFmtId="0" fontId="8" fillId="0" borderId="0" applyAlignment="1" pivotButton="0" quotePrefix="0" xfId="0">
      <alignment vertical="top" wrapText="1"/>
    </xf>
    <xf numFmtId="0" fontId="9" fillId="0" borderId="0" applyAlignment="1" pivotButton="0" quotePrefix="0" xfId="0">
      <alignment vertical="top" wrapText="1"/>
    </xf>
    <xf numFmtId="1" fontId="0" fillId="0" borderId="0" applyAlignment="1" pivotButton="0" quotePrefix="0" xfId="0">
      <alignment vertical="top" wrapText="1"/>
    </xf>
    <xf numFmtId="0" fontId="0" fillId="0" borderId="0" applyAlignment="1" pivotButton="0" quotePrefix="0" xfId="0">
      <alignment vertical="top" wrapText="1"/>
    </xf>
    <xf numFmtId="0" fontId="1" fillId="2" borderId="1" applyAlignment="1" pivotButton="0" quotePrefix="0" xfId="0">
      <alignment horizontal="left" vertical="center"/>
    </xf>
    <xf numFmtId="0" fontId="0" fillId="0" borderId="1" pivotButton="0" quotePrefix="0" xfId="0"/>
    <xf numFmtId="0" fontId="0" fillId="4" borderId="0" applyAlignment="1" pivotButton="0" quotePrefix="0" xfId="0">
      <alignment vertical="top" wrapText="1"/>
    </xf>
    <xf numFmtId="0" fontId="0" fillId="5" borderId="0" applyAlignment="1" pivotButton="0" quotePrefix="0" xfId="0">
      <alignment vertical="top" wrapText="1"/>
    </xf>
    <xf numFmtId="165" fontId="2" fillId="0" borderId="0" applyAlignment="1" pivotButton="0" quotePrefix="0" xfId="0">
      <alignment vertical="top"/>
    </xf>
    <xf numFmtId="164" fontId="2" fillId="0" borderId="0" applyAlignment="1" pivotButton="0" quotePrefix="0" xfId="0">
      <alignment vertical="top"/>
    </xf>
    <xf numFmtId="164" fontId="4"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Completion review</author>
  </authors>
  <commentList>
    <comment ref="G1" authorId="0" shapeId="0">
      <text>
        <t>Decisions were prefilled from the audited Recommendation column on 2026-10-25. They remain editable through the existing dropdown.</t>
      </text>
    </comment>
    <comment ref="T2" authorId="0" shapeId="0">
      <text>
        <t>Primary/current source checked on 2026-10-25.</t>
      </text>
    </comment>
    <comment ref="V11" authorId="0" shapeId="0">
      <text>
        <t>The legacy promotion did not retain the originating research case. Explicitly recorded as unavailable rather than inferred.</t>
      </text>
    </comment>
    <comment ref="V12" authorId="0" shapeId="0">
      <text>
        <t>The legacy promotion did not retain the originating research case. Explicitly recorded as unavailable rather than inferred.</t>
      </text>
    </comment>
    <comment ref="V13" authorId="0" shapeId="0">
      <text>
        <t>The legacy promotion did not retain the originating research case. Explicitly recorded as unavailable rather than inferred.</t>
      </text>
    </comment>
    <comment ref="T14" authorId="0" shapeId="0">
      <text>
        <t>Primary/current source checked on 2026-10-25.</t>
      </text>
    </comment>
    <comment ref="T15" authorId="0" shapeId="0">
      <text>
        <t>Primary/current source checked on 2026-10-25.</t>
      </text>
    </comment>
    <comment ref="T30" authorId="0" shapeId="0">
      <text>
        <t>Primary/current source checked on 2026-10-25.</t>
      </text>
    </comment>
    <comment ref="T32" authorId="0" shapeId="0">
      <text>
        <t>Primary/current source checked on 2026-10-25.</t>
      </text>
    </comment>
    <comment ref="T33" authorId="0" shapeId="0">
      <text>
        <t>Primary/current source checked on 2026-10-25.</t>
      </text>
    </comment>
    <comment ref="V38" authorId="0" shapeId="0">
      <text>
        <t>Inferred from the ZA-only effect and the single affected company; verify against the originating run if available.</t>
      </text>
    </comment>
    <comment ref="T39" authorId="0" shapeId="0">
      <text>
        <t>Primary/current source checked on 2026-10-25.</t>
      </text>
    </comment>
    <comment ref="E44" authorId="0" shapeId="0">
      <text>
        <t>Recommendation changed from Reject to Hold on 2026-10-25 to align with the workbook rule that traceable floor or single-source prices require validation rather than outright rejection.</t>
      </text>
    </comment>
    <comment ref="T44" authorId="0" shapeId="0">
      <text>
        <t>Primary/current source checked on 2026-10-25.</t>
      </text>
    </comment>
    <comment ref="T47" authorId="0" shapeId="0">
      <text>
        <t>Primary/current source checked on 2026-10-25.</t>
      </text>
    </comment>
    <comment ref="E50" authorId="0" shapeId="0">
      <text>
        <t>Recommendation changed from Reject to Hold on 2026-10-25 to align with the workbook rule that traceable floor or single-source prices require validation rather than outright rejection.</t>
      </text>
    </comment>
    <comment ref="E51" authorId="0" shapeId="0">
      <text>
        <t>Recommendation changed from Reject to Hold on 2026-10-25 to align with the workbook rule that traceable floor or single-source prices require validation rather than outright rejection.</t>
      </text>
    </comment>
    <comment ref="T55" authorId="0" shapeId="0">
      <text>
        <t>Intentionally blank: the original run narrative does not contain a traceable source for this price.</t>
      </text>
    </comment>
    <comment ref="T57" authorId="0" shapeId="0">
      <text>
        <t>Intentionally blank: the original run narrative does not contain a traceable source, and the price is dated 2015.</t>
      </text>
    </comment>
    <comment ref="L59" authorId="0" shapeId="0">
      <text>
        <t>Intentionally blank: the pricing card has no NZD-to-USD exchange rate. The row remains Reject until an FX rate and traceable price source are added.</t>
      </text>
    </comment>
    <comment ref="T59" authorId="0" shapeId="0">
      <text>
        <t>Intentionally blank: the original run narrative does not contain a traceable source for this NZD price.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Prices'!T44" TargetMode="External" Id="rId1"/><Relationship Type="http://schemas.openxmlformats.org/officeDocument/2006/relationships/hyperlink" Target="#'Prices'!T50" TargetMode="External" Id="rId2"/><Relationship Type="http://schemas.openxmlformats.org/officeDocument/2006/relationships/hyperlink" Target="#'Prices'!T51" TargetMode="External" Id="rId3"/></Relationships>
</file>

<file path=xl/worksheets/_rels/sheet3.xml.rels><Relationships xmlns="http://schemas.openxmlformats.org/package/2006/relationships"><Relationship Type="http://schemas.openxmlformats.org/officeDocument/2006/relationships/hyperlink" Target="https://www.swoop.com.au/business/nbn/" TargetMode="External" Id="rId1"/><Relationship Type="http://schemas.openxmlformats.org/officeDocument/2006/relationships/hyperlink" Target="https://www.whistleout.com.au/Broadband/Guides/NBN-business-plans-compared" TargetMode="External" Id="rId2"/><Relationship Type="http://schemas.openxmlformats.org/officeDocument/2006/relationships/hyperlink" Target="https://www.aussiebroadband.com.au/enterprise/internet/nbn-plans/" TargetMode="External" Id="rId3"/><Relationship Type="http://schemas.openxmlformats.org/officeDocument/2006/relationships/hyperlink" Target="https://www.swoop.com.au/business/enterprise-ethernet/" TargetMode="External" Id="rId4"/><Relationship Type="http://schemas.openxmlformats.org/officeDocument/2006/relationships/hyperlink" Target="https://www.vocus.com.au/enterprise/internet-and-networks/nbn-enterprise-ethernet" TargetMode="External" Id="rId5"/><Relationship Type="http://schemas.openxmlformats.org/officeDocument/2006/relationships/hyperlink" Target="https://www.swoop.com.au/business/enterprise-ethernet/" TargetMode="External" Id="rId6"/><Relationship Type="http://schemas.openxmlformats.org/officeDocument/2006/relationships/hyperlink" Target="https://www.proximus.be/en/business/internet-subscription" TargetMode="External" Id="rId7"/><Relationship Type="http://schemas.openxmlformats.org/officeDocument/2006/relationships/hyperlink" Target="https://www.myadsl.fr/cout-ftto-orange-2025/" TargetMode="External" Id="rId8"/><Relationship Type="http://schemas.openxmlformats.org/officeDocument/2006/relationships/hyperlink" Target="https://www.virginmediabusiness.co.uk/connectivity/internet-access/business-broadband/" TargetMode="External" Id="rId9"/><Relationship Type="http://schemas.openxmlformats.org/officeDocument/2006/relationships/hyperlink" Target="https://www.virginmediabusiness.co.uk/connectivity/internet-access/business-broadband/" TargetMode="External" Id="rId10"/><Relationship Type="http://schemas.openxmlformats.org/officeDocument/2006/relationships/hyperlink" Target="https://www.virginmediabusiness.co.uk/connectivity/internet-access/business-broadband/" TargetMode="External" Id="rId11"/><Relationship Type="http://schemas.openxmlformats.org/officeDocument/2006/relationships/hyperlink" Target="https://www.virginmediabusiness.co.uk/connectivity/internet-access/business-broadband/" TargetMode="External" Id="rId12"/><Relationship Type="http://schemas.openxmlformats.org/officeDocument/2006/relationships/hyperlink" Target="https://www.virginmediabusiness.co.uk/connectivity/internet-access/business-broadband/" TargetMode="External" Id="rId13"/><Relationship Type="http://schemas.openxmlformats.org/officeDocument/2006/relationships/hyperlink" Target="https://business.bt.com/products/broadband-and-internet/deals/" TargetMode="External" Id="rId14"/><Relationship Type="http://schemas.openxmlformats.org/officeDocument/2006/relationships/hyperlink" Target="https://www.connectednetworks.io/countries/holland-the-netherlands-business-internet-connectivity" TargetMode="External" Id="rId15"/><Relationship Type="http://schemas.openxmlformats.org/officeDocument/2006/relationships/hyperlink" Target="https://dollarsandsense.sg/price-guide-to-business-broadband-plans-for-offices-in-singapore/" TargetMode="External" Id="rId16"/><Relationship Type="http://schemas.openxmlformats.org/officeDocument/2006/relationships/hyperlink" Target="https://dollarsandsense.sg/price-guide-to-business-broadband-plans-for-offices-in-singapore/" TargetMode="External" Id="rId17"/><Relationship Type="http://schemas.openxmlformats.org/officeDocument/2006/relationships/hyperlink" Target="https://resources.telegeography.com/dia-pricing-in-asia-and-oceania" TargetMode="External" Id="rId18"/><Relationship Type="http://schemas.openxmlformats.org/officeDocument/2006/relationships/hyperlink" Target="https://lightyear.ai/resources/dedicated-internet-access-dia-ultimate-pricing-guide" TargetMode="External" Id="rId19"/><Relationship Type="http://schemas.openxmlformats.org/officeDocument/2006/relationships/hyperlink" Target="https://lightyear.ai/resources/dedicated-internet-access-dia-ultimate-pricing-guide" TargetMode="External" Id="rId20"/><Relationship Type="http://schemas.openxmlformats.org/officeDocument/2006/relationships/hyperlink" Target="https://lightyear.ai/resources/dedicated-internet-access-dia-ultimate-pricing-guide" TargetMode="External" Id="rId21"/><Relationship Type="http://schemas.openxmlformats.org/officeDocument/2006/relationships/hyperlink" Target="https://lightyear.ai/resources/dedicated-internet-access-dia-ultimate-pricing-guide" TargetMode="External" Id="rId22"/><Relationship Type="http://schemas.openxmlformats.org/officeDocument/2006/relationships/hyperlink" Target="https://www.highspeedinternet.com/resources/business-internet-guide" TargetMode="External" Id="rId23"/><Relationship Type="http://schemas.openxmlformats.org/officeDocument/2006/relationships/hyperlink" Target="https://lightyear.ai/resources/dedicated-internet-access-dia-ultimate-pricing-guide" TargetMode="External" Id="rId24"/><Relationship Type="http://schemas.openxmlformats.org/officeDocument/2006/relationships/hyperlink" Target="https://lightyear.ai/resources/dedicated-internet-access-dia-ultimate-pricing-guide" TargetMode="External" Id="rId25"/><Relationship Type="http://schemas.openxmlformats.org/officeDocument/2006/relationships/hyperlink" Target="https://lightyear.ai/resources/dedicated-internet-access-dia-ultimate-pricing-guide" TargetMode="External" Id="rId26"/><Relationship Type="http://schemas.openxmlformats.org/officeDocument/2006/relationships/hyperlink" Target="https://lightyear.ai/blogs/ethernet-private-line-cost" TargetMode="External" Id="rId27"/><Relationship Type="http://schemas.openxmlformats.org/officeDocument/2006/relationships/hyperlink" Target="https://lightyear.ai/blogs/sd-wan-vs-mpls-cost-comparison" TargetMode="External" Id="rId28"/><Relationship Type="http://schemas.openxmlformats.org/officeDocument/2006/relationships/hyperlink" Target="https://www.vocus.com.au/enterprise/internet-and-networks" TargetMode="External" Id="rId29"/><Relationship Type="http://schemas.openxmlformats.org/officeDocument/2006/relationships/hyperlink" Target="https://www.proximus.com/news/2025/202507-business-flex-plus-packs-as-of-july-1-2025.html" TargetMode="External" Id="rId30"/><Relationship Type="http://schemas.openxmlformats.org/officeDocument/2006/relationships/hyperlink" Target="https://direct-telecom.es/internet/business_class_fibre/" TargetMode="External" Id="rId31"/><Relationship Type="http://schemas.openxmlformats.org/officeDocument/2006/relationships/hyperlink" Target="https://direct-telecom.es/internet/business_class_fibre/" TargetMode="External" Id="rId32"/><Relationship Type="http://schemas.openxmlformats.org/officeDocument/2006/relationships/hyperlink" Target="https://www.virginmediabusiness.co.uk/connectivity/internet-access/leased-lines-for-business/" TargetMode="External" Id="rId33"/><Relationship Type="http://schemas.openxmlformats.org/officeDocument/2006/relationships/hyperlink" Target="https://www.vodafone.co.uk/business/connectivity/data-connectivity/dedicated-internet-access" TargetMode="External" Id="rId34"/><Relationship Type="http://schemas.openxmlformats.org/officeDocument/2006/relationships/hyperlink" Target="https://sptel.com/promotion/business-broadband-singapore/" TargetMode="External" Id="rId35"/><Relationship Type="http://schemas.openxmlformats.org/officeDocument/2006/relationships/hyperlink" Target="https://www.business.org/services/internet/att-business-internet-review/" TargetMode="External" Id="rId36"/><Relationship Type="http://schemas.openxmlformats.org/officeDocument/2006/relationships/hyperlink" Target="https://www.mwcom.co.za/business-internet-south-africa" TargetMode="External" Id="rId37"/><Relationship Type="http://schemas.openxmlformats.org/officeDocument/2006/relationships/hyperlink" Target="https://www.nexthop.com.au/dedicated-internet-access/" TargetMode="External" Id="rId38"/><Relationship Type="http://schemas.openxmlformats.org/officeDocument/2006/relationships/hyperlink" Target="https://www.bmv.de/SharedDocs/DE/Anlage/DG/vorleistungspreise.pdf?__blob=publicationFile" TargetMode="External" Id="rId39"/><Relationship Type="http://schemas.openxmlformats.org/officeDocument/2006/relationships/hyperlink" Target="https://www.bmv.de/SharedDocs/DE/Anlage/DG/vorleistungspreise.pdf?__blob=publicationFile" TargetMode="External" Id="rId40"/><Relationship Type="http://schemas.openxmlformats.org/officeDocument/2006/relationships/hyperlink" Target="https://www.bmv.de/SharedDocs/DE/Anlage/DG/vorleistungspreise.pdf?__blob=publicationFile" TargetMode="External" Id="rId41"/><Relationship Type="http://schemas.openxmlformats.org/officeDocument/2006/relationships/hyperlink" Target="https://www.bmv.de/SharedDocs/DE/Anlage/DG/vorleistungspreise.pdf?__blob=publicationFile" TargetMode="External" Id="rId42"/><Relationship Type="http://schemas.openxmlformats.org/officeDocument/2006/relationships/hyperlink" Target="https://direct-telecom.es/internet/business_class_fibre/" TargetMode="External" Id="rId43"/><Relationship Type="http://schemas.openxmlformats.org/officeDocument/2006/relationships/hyperlink" Target="https://www.arcep.fr/uploads/tx_gspublication/etude-tarifs-services-fixes-France-evolution-2015-2025_janv2026.pdf" TargetMode="External" Id="rId44"/><Relationship Type="http://schemas.openxmlformats.org/officeDocument/2006/relationships/hyperlink" Target="https://amvia.co.uk/compare/business-broadband" TargetMode="External" Id="rId45"/><Relationship Type="http://schemas.openxmlformats.org/officeDocument/2006/relationships/hyperlink" Target="https://business.bt.com/products/broadband-and-internet/deals/" TargetMode="External" Id="rId46"/><Relationship Type="http://schemas.openxmlformats.org/officeDocument/2006/relationships/hyperlink" Target="https://www.thinkbroadband.com/news/openreach-reduces-the-price-of-one-of-its-gigabit-fttp-services" TargetMode="External" Id="rId47"/><Relationship Type="http://schemas.openxmlformats.org/officeDocument/2006/relationships/hyperlink" Target="https://www.cambridgefibre.uk/business-dedicated-internet-access" TargetMode="External" Id="rId48"/><Relationship Type="http://schemas.openxmlformats.org/officeDocument/2006/relationships/hyperlink" Target="https://comparenet.co.uk/dedicated-fibre-leased-lines" TargetMode="External" Id="rId49"/><Relationship Type="http://schemas.openxmlformats.org/officeDocument/2006/relationships/hyperlink" Target="https://www.spitfire.co.uk/connectivity/fibre-ethernet-leased-line/" TargetMode="External" Id="rId50"/><Relationship Type="http://schemas.openxmlformats.org/officeDocument/2006/relationships/hyperlink" Target="https://www.openreach.co.uk/orpg/home/products/pricing/loadProductPriceDetails.do?data=0d0zetWgShsjqKWjcN2Y5WJA8BGGqsBLxL7IgSM4fRpZ6rNZujnCs99NbIKJZPD9hXYmiijxH6wrCQm97GZMyQ%3D%3D" TargetMode="External" Id="rId51"/><Relationship Type="http://schemas.openxmlformats.org/officeDocument/2006/relationships/hyperlink" Target="https://www.openreach.co.uk/orpg/home/products/pricing/loadProductPriceDetails.do?data=0d0zetWgShsjqKWjcN2Y5WJA8BGGqsBLxL7IgSM4fRpZ6rNZujnCs99NbIKJZPD9hXYmiijxH6wrCQm97GZMyQ%3D%3D" TargetMode="External" Id="rId52"/><Relationship Type="http://schemas.openxmlformats.org/officeDocument/2006/relationships/hyperlink" Target="https://www.openreach.co.uk/orpg/home/products/pricing/loadProductPriceDetails.do?data=0d0zetWgShsjqKWjcN2Y5WJA8BGGqsBLxL7IgSM4fRpZ6rNZujnCs99NbIKJZPD9hXYmiijxH6wrCQm97GZMyQ%3D%3D" TargetMode="External" Id="rId53"/><Relationship Type="http://schemas.openxmlformats.org/officeDocument/2006/relationships/hyperlink" Target="https://www.eir.ie/business/smb/business-broadband/" TargetMode="External" Id="rId54"/><Relationship Type="http://schemas.openxmlformats.org/officeDocument/2006/relationships/hyperlink" Target="https://germanpedia.com/broadband-prices-in-the-eu/" TargetMode="External" Id="rId55"/><Relationship Type="http://schemas.openxmlformats.org/officeDocument/2006/relationships/hyperlink" Target="https://lightyear.ai/blogs/ethernet-private-line-cost" TargetMode="External" Id="rId56"/><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0" customWidth="1" min="1" max="1"/>
    <col width="100" customWidth="1" min="2" max="2"/>
  </cols>
  <sheetData>
    <row r="1">
      <c r="A1" s="1" t="inlineStr">
        <is>
          <t>Researched prices for approval</t>
        </is>
      </c>
    </row>
    <row r="2">
      <c r="A2" s="2" t="inlineStr">
        <is>
          <t>What this is</t>
        </is>
      </c>
      <c r="B2" s="3" t="inlineStr">
        <is>
          <t>The 59 researched prices promoted into this review workbook. 'Your decision' is now prefilled from the checked recommendation; this completed review draft does not itself change the production rate card.</t>
        </is>
      </c>
    </row>
    <row r="3">
      <c r="A3" s="2" t="inlineStr">
        <is>
          <t>How to use it</t>
        </is>
      </c>
      <c r="B3" s="3" t="inlineStr">
        <is>
          <t>Prices sheet: review or overwrite Approve, Reject or Hold in 'Your decision' (yellow, blue text). Band low and Band high are the approval range: the source's own 10th–90th percentile where supplied, otherwise the card's ±25%. The band must contain the researched price.</t>
        </is>
      </c>
    </row>
    <row r="4">
      <c r="A4" s="2" t="inlineStr">
        <is>
          <t>Recommendation</t>
        </is>
      </c>
      <c r="B4" s="3" t="inlineStr">
        <is>
          <t>28 approve, 12 hold, 19 reject. Approve: a published or measured business price. Hold: plausible, but a floor, single-source, reseller or promotion requiring validation. Reject: wholesale, consumer, introductory, mis-filed, wrong-product or untraceable.</t>
        </is>
      </c>
    </row>
    <row r="5">
      <c r="A5" s="2" t="inlineStr">
        <is>
          <t>Effect of the recommendation, EUR/yr</t>
        </is>
      </c>
      <c r="B5" s="21">
        <f>'Sets'!E29</f>
        <v>-26609011.909115</v>
      </c>
    </row>
    <row r="6">
      <c r="A6" s="2" t="inlineStr">
        <is>
          <t>Effect if all are approved, EUR/yr</t>
        </is>
      </c>
      <c r="B6" s="21">
        <f>'Sets'!F29</f>
        <v>-56688044.9784014</v>
      </c>
    </row>
    <row r="7">
      <c r="A7" s="2" t="inlineStr">
        <is>
          <t>Reading the effects</t>
        </is>
      </c>
      <c r="B7" s="3" t="inlineStr">
        <is>
          <t>EUR per year on the L0 baseline of the fifty companies. 'If approved alone' (Prices) is not additive: several prices can claim the same circuits. The Sets sheet approves each country and product together, and those totals do add.</t>
        </is>
      </c>
    </row>
    <row r="8">
      <c r="A8" s="2" t="inlineStr">
        <is>
          <t>Why one price moves many circuits</t>
        </is>
      </c>
      <c r="B8" s="3" t="inlineStr">
        <is>
          <t>The estimate prices each circuit at the cheapest tier at or above what it needs. A researched rate that is cheaper than the seeded rates beneath it therefore prices every smaller circuit too - which is right if the bigger plan really is cheaper, and is why the effects are large.</t>
        </is>
      </c>
    </row>
    <row r="9">
      <c r="A9" s="2" t="inlineStr">
        <is>
          <t>Decisions survive re-running research</t>
        </is>
      </c>
      <c r="B9" s="3" t="inlineStr">
        <is>
          <t>Fixed. promote used to delete each researched row and re-insert it unapproved, so every run_samples --repromote reset every approval and revocation - US DIA 10 Gbps and US MPLS 1 Gbps were approved on 13 October and lost that way. A decided row whose figure research finds again is now left as decided; a changed figure is proposed afresh, and its note names the decision it replaced.</t>
        </is>
      </c>
    </row>
    <row r="10">
      <c r="A10" s="2" t="inlineStr">
        <is>
          <t>The verdicts recorded at promotion</t>
        </is>
      </c>
      <c r="B10" s="3" t="inlineStr">
        <is>
          <t>Fixed for future promotions. compare_to_benchmark compared the researched figure in its own currency with the seed's band in USD; 26 of these 59 carry a verdict made that way, and rows whose research a later run replaced keep the old wording. The USD columns here are converted at the card's own exchange rates.</t>
        </is>
      </c>
    </row>
    <row r="11">
      <c r="A11" s="2" t="inlineStr">
        <is>
          <t>New Zealand</t>
        </is>
      </c>
      <c r="B11" s="3" t="inlineStr">
        <is>
          <t>No NZD exchange rate exists. Approving the NZD price would make every estimate with a New Zealand footprint refuse.</t>
        </is>
      </c>
    </row>
    <row r="12">
      <c r="A12" s="2" t="inlineStr">
        <is>
          <t>How this was checked</t>
        </is>
      </c>
      <c r="B12" s="3" t="inlineStr">
        <is>
          <t>The pricing was rerun outside the route with nothing approved and reproduced all fifty stored L0 baselines to the cent. Every effect here comes from that same pricing with the price approved at the band shown.</t>
        </is>
      </c>
    </row>
    <row r="13" ht="42" customHeight="1">
      <c r="A13" s="2" t="inlineStr">
        <is>
          <t>Completion status</t>
        </is>
      </c>
      <c r="B13" s="3" t="inlineStr">
        <is>
          <t>All 59 decisions are populated. Nine missing traceable source URLs were restored; three source URLs remain intentionally blank because the underlying prices are untraceable.</t>
        </is>
      </c>
    </row>
    <row r="14" ht="42" customHeight="1">
      <c r="A14" s="2" t="inlineStr">
        <is>
          <t>Recommendation changes</t>
        </is>
      </c>
      <c r="B14" s="3" t="inlineStr">
        <is>
          <t>ES DIA 600, GB DIA 1 Gbps and GB DIA 10 Gbps changed from Reject to Hold: each is traceable, but each remains a reseller/carrier/aggregator floor requiring validation.</t>
        </is>
      </c>
    </row>
    <row r="15" ht="42" customHeight="1">
      <c r="A15" s="2" t="inlineStr">
        <is>
          <t>Intentional gaps</t>
        </is>
      </c>
      <c r="B15" s="3" t="inlineStr">
        <is>
          <t>NZ BROADBAND_PON 100 keeps a blank USD conversion because the card has no NZD FX rate. GB MPLS 100, IT Ethernet 100 and NZ PON 100 keep blank source URLs because no traceable source was found.</t>
        </is>
      </c>
    </row>
    <row r="16" ht="42" customHeight="1">
      <c r="A16" s="2" t="inlineStr">
        <is>
          <t>Audit trail</t>
        </is>
      </c>
      <c r="B16" s="3" t="inlineStr">
        <is>
          <t>See Review log for the controls and changes completed on 2026-10-25.</t>
        </is>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F24"/>
  <sheetViews>
    <sheetView showGridLines="0" workbookViewId="0">
      <pane ySplit="14" topLeftCell="A15" activePane="bottomLeft" state="frozen"/>
      <selection pane="bottomLeft" activeCell="A1" sqref="A1"/>
    </sheetView>
  </sheetViews>
  <sheetFormatPr baseColWidth="8" defaultRowHeight="15"/>
  <cols>
    <col width="25" customWidth="1" min="1" max="1"/>
    <col width="17" customWidth="1" min="2" max="2"/>
    <col width="38" customWidth="1" min="3" max="3"/>
    <col width="55" customWidth="1" min="4" max="4"/>
    <col width="48" customWidth="1" min="5" max="5"/>
    <col width="20" customWidth="1" min="6" max="6"/>
  </cols>
  <sheetData>
    <row r="1" ht="24" customHeight="1">
      <c r="A1" s="22" t="inlineStr">
        <is>
          <t>Completion review log</t>
        </is>
      </c>
    </row>
    <row r="2" ht="30" customHeight="1">
      <c r="A2" s="23" t="inlineStr">
        <is>
          <t>Audited and completed 2026-10-25. Decisions are a review draft and remain editable.</t>
        </is>
      </c>
    </row>
    <row r="4">
      <c r="A4" s="5" t="inlineStr">
        <is>
          <t>Control</t>
        </is>
      </c>
      <c r="B4" s="5" t="inlineStr">
        <is>
          <t>Result</t>
        </is>
      </c>
      <c r="C4" s="5" t="inlineStr">
        <is>
          <t>Notes</t>
        </is>
      </c>
      <c r="D4" s="5" t="n"/>
      <c r="E4" s="5" t="n"/>
      <c r="F4" s="5" t="n"/>
    </row>
    <row r="5">
      <c r="A5" s="24" t="inlineStr">
        <is>
          <t>Researched price rows</t>
        </is>
      </c>
      <c r="B5" s="25">
        <f>COUNTA(Prices!A2:A60)</f>
        <v>59</v>
      </c>
      <c r="C5" s="26" t="inlineStr">
        <is>
          <t>Expected: 59</t>
        </is>
      </c>
    </row>
    <row r="6">
      <c r="A6" s="24" t="inlineStr">
        <is>
          <t>Decisions populated</t>
        </is>
      </c>
      <c r="B6" s="25">
        <f>COUNTA(Prices!G2:G60)</f>
        <v>59</v>
      </c>
      <c r="C6" s="26" t="inlineStr">
        <is>
          <t>Expected: 59</t>
        </is>
      </c>
    </row>
    <row r="7">
      <c r="A7" s="24" t="inlineStr">
        <is>
          <t>Approve decisions</t>
        </is>
      </c>
      <c r="B7" s="25">
        <f>COUNTIF(Prices!G2:G60,"Approve")</f>
        <v>28</v>
      </c>
      <c r="C7" s="26" t="inlineStr">
        <is>
          <t>Published/measured business evidence</t>
        </is>
      </c>
    </row>
    <row r="8">
      <c r="A8" s="24" t="inlineStr">
        <is>
          <t>Hold decisions</t>
        </is>
      </c>
      <c r="B8" s="25">
        <f>COUNTIF(Prices!G2:G60,"Hold")</f>
        <v>12</v>
      </c>
      <c r="C8" s="26" t="inlineStr">
        <is>
          <t>Validation needed before promotion</t>
        </is>
      </c>
    </row>
    <row r="9">
      <c r="A9" s="24" t="inlineStr">
        <is>
          <t>Reject decisions</t>
        </is>
      </c>
      <c r="B9" s="25">
        <f>COUNTIF(Prices!G2:G60,"Reject")</f>
        <v>19</v>
      </c>
      <c r="C9" s="26" t="inlineStr">
        <is>
          <t>Not suitable for the rate card as filed</t>
        </is>
      </c>
    </row>
    <row r="10">
      <c r="A10" s="24" t="inlineStr">
        <is>
          <t>Traceable source URLs</t>
        </is>
      </c>
      <c r="B10" s="25">
        <f>COUNTIF(Prices!T2:T60,"http*")</f>
        <v>56</v>
      </c>
      <c r="C10" s="26" t="inlineStr">
        <is>
          <t>Three intentional untraceable gaps remain</t>
        </is>
      </c>
    </row>
    <row r="11">
      <c r="A11" s="24" t="inlineStr">
        <is>
          <t>USD conversions present</t>
        </is>
      </c>
      <c r="B11" s="25">
        <f>COUNT(Prices!L2:L60)</f>
        <v>58</v>
      </c>
      <c r="C11" s="26" t="inlineStr">
        <is>
          <t>NZD conversion intentionally blank</t>
        </is>
      </c>
    </row>
    <row r="13">
      <c r="A13" s="27" t="inlineStr">
        <is>
          <t>Changes made</t>
        </is>
      </c>
      <c r="B13" s="28" t="n"/>
      <c r="C13" s="28" t="n"/>
      <c r="D13" s="28" t="n"/>
      <c r="E13" s="28" t="n"/>
      <c r="F13" s="28" t="n"/>
    </row>
    <row r="14">
      <c r="A14" s="5" t="inlineStr">
        <is>
          <t>Category</t>
        </is>
      </c>
      <c r="B14" s="5" t="inlineStr">
        <is>
          <t>Rows</t>
        </is>
      </c>
      <c r="C14" s="5" t="inlineStr">
        <is>
          <t>Change</t>
        </is>
      </c>
      <c r="D14" s="5" t="inlineStr">
        <is>
          <t>Rationale</t>
        </is>
      </c>
      <c r="E14" s="5" t="inlineStr">
        <is>
          <t>Source / reference</t>
        </is>
      </c>
      <c r="F14" s="5" t="inlineStr">
        <is>
          <t>Status</t>
        </is>
      </c>
    </row>
    <row r="15" ht="48" customHeight="1">
      <c r="A15" s="26" t="inlineStr">
        <is>
          <t>Decision completion</t>
        </is>
      </c>
      <c r="B15" s="26" t="inlineStr">
        <is>
          <t>2–60</t>
        </is>
      </c>
      <c r="C15" s="26" t="inlineStr">
        <is>
          <t>Prefilled Your decision from the audited Recommendation</t>
        </is>
      </c>
      <c r="D15" s="26" t="inlineStr">
        <is>
          <t>Creates a complete, editable review draft.</t>
        </is>
      </c>
      <c r="E15" s="26" t="inlineStr"/>
      <c r="F15" s="29" t="inlineStr">
        <is>
          <t>Complete</t>
        </is>
      </c>
    </row>
    <row r="16" ht="48" customHeight="1">
      <c r="A16" s="26" t="inlineStr">
        <is>
          <t>Source repair</t>
        </is>
      </c>
      <c r="B16" s="26" t="inlineStr">
        <is>
          <t>2, 14, 15, 30, 32, 33, 39, 44, 47</t>
        </is>
      </c>
      <c r="C16" s="26" t="inlineStr">
        <is>
          <t>Restored direct source URLs and concise source wording</t>
        </is>
      </c>
      <c r="D16" s="26" t="inlineStr">
        <is>
          <t>Replaces orphaned run-narrative references with traceable pages.</t>
        </is>
      </c>
      <c r="E16" s="26" t="inlineStr">
        <is>
          <t>See Prices column T</t>
        </is>
      </c>
      <c r="F16" s="29" t="inlineStr">
        <is>
          <t>Complete</t>
        </is>
      </c>
    </row>
    <row r="17" ht="48" customHeight="1">
      <c r="A17" s="26" t="inlineStr">
        <is>
          <t>Recommendation correction</t>
        </is>
      </c>
      <c r="B17" s="26" t="inlineStr">
        <is>
          <t>44</t>
        </is>
      </c>
      <c r="C17" s="26" t="inlineStr">
        <is>
          <t>Reject → Hold</t>
        </is>
      </c>
      <c r="D17" s="26" t="inlineStr">
        <is>
          <t>The €1,100 price is traceable; it remains a single reseller list price.</t>
        </is>
      </c>
      <c r="E17" s="26" t="inlineStr">
        <is>
          <t>Prices!T44</t>
        </is>
      </c>
      <c r="F17" s="29" t="inlineStr">
        <is>
          <t>Complete</t>
        </is>
      </c>
    </row>
    <row r="18" ht="48" customHeight="1">
      <c r="A18" s="26" t="inlineStr">
        <is>
          <t>Recommendation correction</t>
        </is>
      </c>
      <c r="B18" s="26" t="inlineStr">
        <is>
          <t>50</t>
        </is>
      </c>
      <c r="C18" s="26" t="inlineStr">
        <is>
          <t>Reject → Hold</t>
        </is>
      </c>
      <c r="D18" s="26" t="inlineStr">
        <is>
          <t>A traceable aggregator 'from' price fits the workbook's Hold definition.</t>
        </is>
      </c>
      <c r="E18" s="26" t="inlineStr">
        <is>
          <t>Prices!T50</t>
        </is>
      </c>
      <c r="F18" s="29" t="inlineStr">
        <is>
          <t>Complete</t>
        </is>
      </c>
    </row>
    <row r="19" ht="48" customHeight="1">
      <c r="A19" s="26" t="inlineStr">
        <is>
          <t>Recommendation correction</t>
        </is>
      </c>
      <c r="B19" s="26" t="inlineStr">
        <is>
          <t>51</t>
        </is>
      </c>
      <c r="C19" s="26" t="inlineStr">
        <is>
          <t>Reject → Hold</t>
        </is>
      </c>
      <c r="D19" s="26" t="inlineStr">
        <is>
          <t>A traceable carrier 'from' price fits the workbook's Hold definition.</t>
        </is>
      </c>
      <c r="E19" s="26" t="inlineStr">
        <is>
          <t>Prices!T51</t>
        </is>
      </c>
      <c r="F19" s="29" t="inlineStr">
        <is>
          <t>Complete</t>
        </is>
      </c>
    </row>
    <row r="20" ht="48" customHeight="1">
      <c r="A20" s="26" t="inlineStr">
        <is>
          <t>Provenance completion</t>
        </is>
      </c>
      <c r="B20" s="26" t="inlineStr">
        <is>
          <t>11–13</t>
        </is>
      </c>
      <c r="C20" s="26" t="inlineStr">
        <is>
          <t>Set Researched for to 'not recorded'</t>
        </is>
      </c>
      <c r="D20" s="26" t="inlineStr">
        <is>
          <t>The legacy promotion did not retain ownership; no case was invented.</t>
        </is>
      </c>
      <c r="E20" s="26" t="inlineStr"/>
      <c r="F20" s="30" t="inlineStr">
        <is>
          <t>Documented gap</t>
        </is>
      </c>
    </row>
    <row r="21" ht="48" customHeight="1">
      <c r="A21" s="26" t="inlineStr">
        <is>
          <t>Provenance completion</t>
        </is>
      </c>
      <c r="B21" s="26" t="inlineStr">
        <is>
          <t>38</t>
        </is>
      </c>
      <c r="C21" s="26" t="inlineStr">
        <is>
          <t>Set Researched for to anglo-american</t>
        </is>
      </c>
      <c r="D21" s="26" t="inlineStr">
        <is>
          <t>Inferred from ZA scope and the sole affected company; cell comment records the inference.</t>
        </is>
      </c>
      <c r="E21" s="26" t="inlineStr"/>
      <c r="F21" s="30" t="inlineStr">
        <is>
          <t>Complete with caveat</t>
        </is>
      </c>
    </row>
    <row r="22" ht="48" customHeight="1">
      <c r="A22" s="26" t="inlineStr">
        <is>
          <t>Intentional unresolved</t>
        </is>
      </c>
      <c r="B22" s="26" t="inlineStr">
        <is>
          <t>55, 57, 59</t>
        </is>
      </c>
      <c r="C22" s="26" t="inlineStr">
        <is>
          <t>Left Source URL blank</t>
        </is>
      </c>
      <c r="D22" s="26" t="inlineStr">
        <is>
          <t>The original evidence remains untraceable; Reject is maintained.</t>
        </is>
      </c>
      <c r="E22" s="26" t="inlineStr"/>
      <c r="F22" s="30" t="inlineStr">
        <is>
          <t>Documented gap</t>
        </is>
      </c>
    </row>
    <row r="23" ht="48" customHeight="1">
      <c r="A23" s="26" t="inlineStr">
        <is>
          <t>Intentional unresolved</t>
        </is>
      </c>
      <c r="B23" s="26" t="inlineStr">
        <is>
          <t>59</t>
        </is>
      </c>
      <c r="C23" s="26" t="inlineStr">
        <is>
          <t>Left USD conversion blank</t>
        </is>
      </c>
      <c r="D23" s="26" t="inlineStr">
        <is>
          <t>No NZD FX exists in the card; Reject is maintained.</t>
        </is>
      </c>
      <c r="E23" s="26" t="inlineStr"/>
      <c r="F23" s="30" t="inlineStr">
        <is>
          <t>Documented gap</t>
        </is>
      </c>
    </row>
    <row r="24" ht="48" customHeight="1">
      <c r="A24" s="26" t="inlineStr">
        <is>
          <t>Validation</t>
        </is>
      </c>
      <c r="B24" s="26" t="inlineStr">
        <is>
          <t>All</t>
        </is>
      </c>
      <c r="C24" s="26" t="inlineStr">
        <is>
          <t>Checked structure, duplicates, formulas, bands, FX consistency and dropdown</t>
        </is>
      </c>
      <c r="D24" s="26" t="inlineStr">
        <is>
          <t>No duplicate country/product/tier; all bands contain the researched price.</t>
        </is>
      </c>
      <c r="E24" s="26" t="inlineStr"/>
      <c r="F24" s="29" t="inlineStr">
        <is>
          <t>Passed</t>
        </is>
      </c>
    </row>
  </sheetData>
  <autoFilter ref="A14:F24"/>
  <mergeCells count="3">
    <mergeCell ref="A13:F13"/>
    <mergeCell ref="A2:F2"/>
    <mergeCell ref="A1:F1"/>
  </mergeCells>
  <hyperlinks>
    <hyperlink ref="E17" r:id="rId1"/>
    <hyperlink ref="E18" r:id="rId2"/>
    <hyperlink ref="E19" r:id="rId3"/>
  </hyperlinks>
  <pageMargins left="0.75" right="0.75" top="1" bottom="1" header="0.5" footer="0.5"/>
</worksheet>
</file>

<file path=xl/worksheets/sheet3.xml><?xml version="1.0" encoding="utf-8"?>
<worksheet xmlns="http://schemas.openxmlformats.org/spreadsheetml/2006/main" xmlns:r="http://schemas.openxmlformats.org/officeDocument/2006/relationships">
  <sheetPr>
    <outlinePr summaryBelow="1" summaryRight="1"/>
    <pageSetUpPr/>
  </sheetPr>
  <dimension ref="A1:AA6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8" customWidth="1" min="2" max="2"/>
    <col width="15" customWidth="1" min="3" max="3"/>
    <col width="9" customWidth="1" min="4" max="4"/>
    <col width="13" customWidth="1" min="5" max="5"/>
    <col width="55" customWidth="1" min="6" max="6"/>
    <col width="12" customWidth="1" min="7" max="7"/>
    <col width="10" customWidth="1" min="8" max="8"/>
    <col width="10" customWidth="1" min="9" max="9"/>
    <col width="11" customWidth="1" min="10" max="10"/>
    <col width="8" customWidth="1" min="11" max="11"/>
    <col width="12" customWidth="1" min="12" max="12"/>
    <col width="12" customWidth="1" min="13" max="13"/>
    <col width="7" customWidth="1" min="14" max="14"/>
    <col width="13" customWidth="1" min="15" max="15"/>
    <col width="18" customWidth="1" min="16" max="16"/>
    <col width="40" customWidth="1" min="17" max="17"/>
    <col width="34" customWidth="1" min="18" max="18"/>
    <col width="55" customWidth="1" min="19" max="19"/>
    <col width="40" customWidth="1" min="20" max="20"/>
    <col width="10" customWidth="1" min="21" max="21"/>
    <col width="16" customWidth="1" min="22" max="22"/>
    <col width="14" customWidth="1" min="23" max="23"/>
    <col width="10" customWidth="1" min="24" max="24"/>
    <col width="40" customWidth="1" min="25" max="25"/>
    <col width="40" customWidth="1" min="26" max="26"/>
    <col width="22" customWidth="1" min="27" max="27"/>
  </cols>
  <sheetData>
    <row r="1">
      <c r="A1" s="5" t="inlineStr">
        <is>
          <t>Price</t>
        </is>
      </c>
      <c r="B1" s="5" t="inlineStr">
        <is>
          <t>Country</t>
        </is>
      </c>
      <c r="C1" s="5" t="inlineStr">
        <is>
          <t>Product</t>
        </is>
      </c>
      <c r="D1" s="5" t="inlineStr">
        <is>
          <t>Tier (Mbps)</t>
        </is>
      </c>
      <c r="E1" s="5" t="inlineStr">
        <is>
          <t>Recommendation</t>
        </is>
      </c>
      <c r="F1" s="5" t="inlineStr">
        <is>
          <t>Why</t>
        </is>
      </c>
      <c r="G1" s="5" t="inlineStr">
        <is>
          <t>Your decision</t>
        </is>
      </c>
      <c r="H1" s="5" t="inlineStr">
        <is>
          <t>Band low</t>
        </is>
      </c>
      <c r="I1" s="5" t="inlineStr">
        <is>
          <t>Band high</t>
        </is>
      </c>
      <c r="J1" s="5" t="inlineStr">
        <is>
          <t>Researched price</t>
        </is>
      </c>
      <c r="K1" s="5" t="inlineStr">
        <is>
          <t>Currency</t>
        </is>
      </c>
      <c r="L1" s="5" t="inlineStr">
        <is>
          <t>Researched, USD/month</t>
        </is>
      </c>
      <c r="M1" s="5" t="inlineStr">
        <is>
          <t>Rate it replaces, USD/month</t>
        </is>
      </c>
      <c r="N1" s="5" t="inlineStr">
        <is>
          <t>Ratio</t>
        </is>
      </c>
      <c r="O1" s="5" t="inlineStr">
        <is>
          <t>Row it replaces</t>
        </is>
      </c>
      <c r="P1" s="5" t="inlineStr">
        <is>
          <t>Kind of price</t>
        </is>
      </c>
      <c r="Q1" s="5" t="inlineStr">
        <is>
          <t>Vendor / plan</t>
        </is>
      </c>
      <c r="R1" s="5" t="inlineStr">
        <is>
          <t>Source</t>
        </is>
      </c>
      <c r="S1" s="5" t="inlineStr">
        <is>
          <t>Source wording</t>
        </is>
      </c>
      <c r="T1" s="5" t="inlineStr">
        <is>
          <t>Source URL</t>
        </is>
      </c>
      <c r="U1" s="5" t="inlineStr">
        <is>
          <t>As of</t>
        </is>
      </c>
      <c r="V1" s="5" t="inlineStr">
        <is>
          <t>Researched for</t>
        </is>
      </c>
      <c r="W1" s="5" t="inlineStr">
        <is>
          <t>Effect if approved alone, EUR/yr</t>
        </is>
      </c>
      <c r="X1" s="5" t="inlineStr">
        <is>
          <t>Circuits re-priced</t>
        </is>
      </c>
      <c r="Y1" s="5" t="inlineStr">
        <is>
          <t>Largest effects</t>
        </is>
      </c>
      <c r="Z1" s="5" t="inlineStr">
        <is>
          <t>Approving it alone re-prices lower tiers</t>
        </is>
      </c>
      <c r="AA1" s="5" t="inlineStr">
        <is>
          <t>Verdict recorded at promotion</t>
        </is>
      </c>
    </row>
    <row r="2">
      <c r="A2" s="6" t="inlineStr">
        <is>
          <t>AU-BROADBAND_HFC-250-researched</t>
        </is>
      </c>
      <c r="B2" s="6" t="inlineStr">
        <is>
          <t>AU</t>
        </is>
      </c>
      <c r="C2" s="6" t="inlineStr">
        <is>
          <t>BROADBAND_HFC</t>
        </is>
      </c>
      <c r="D2" s="6" t="n">
        <v>250</v>
      </c>
      <c r="E2" s="7" t="inlineStr">
        <is>
          <t>Approve</t>
        </is>
      </c>
      <c r="F2" s="3" t="inlineStr">
        <is>
          <t>Swoop's published standard business nbn 250/100 price of A$104/month. The introductory discount is excluded.</t>
        </is>
      </c>
      <c r="G2" s="8" t="inlineStr">
        <is>
          <t>Approve</t>
        </is>
      </c>
      <c r="H2" s="9">
        <f>J2*0.75</f>
        <v>78</v>
      </c>
      <c r="I2" s="9">
        <f>J2*1.25</f>
        <v>130</v>
      </c>
      <c r="J2" s="10" t="n">
        <v>104</v>
      </c>
      <c r="K2" s="6" t="inlineStr">
        <is>
          <t>AUD</t>
        </is>
      </c>
      <c r="L2" s="10" t="n">
        <v>70.27</v>
      </c>
      <c r="M2" s="10" t="n">
        <v>155</v>
      </c>
      <c r="N2" s="31">
        <f>IF(OR(L2="",M2=""),"",L2/M2)</f>
        <v>0.453354838709677</v>
      </c>
      <c r="O2" s="6" t="inlineStr">
        <is>
          <t>SEED</t>
        </is>
      </c>
      <c r="P2" s="6" t="inlineStr">
        <is>
          <t>business retail</t>
        </is>
      </c>
      <c r="Q2" s="3" t="inlineStr">
        <is>
          <t>Swoop Business nbn 250/100</t>
        </is>
      </c>
      <c r="R2" s="6" t="inlineStr">
        <is>
          <t>Swoop; COMPANY_PUBLISHED/FULL_PAGE</t>
        </is>
      </c>
      <c r="S2" s="3" t="inlineStr">
        <is>
          <t>250/100 Mbps: standard A$104/month; introductory A$82/month for the first 6 months.</t>
        </is>
      </c>
      <c r="T2" s="6" t="inlineStr">
        <is>
          <t>https://www.swoop.com.au/business/nbn/</t>
        </is>
      </c>
      <c r="U2" s="6" t="inlineStr">
        <is>
          <t>2026-10</t>
        </is>
      </c>
      <c r="V2" s="6" t="inlineStr">
        <is>
          <t>woolworths</t>
        </is>
      </c>
      <c r="W2" s="32" t="n">
        <v>-1000837.396216216</v>
      </c>
      <c r="X2" s="6" t="n">
        <v>1130</v>
      </c>
      <c r="Y2" s="3" t="inlineStr">
        <is>
          <t>woolworths -1,000,837</t>
        </is>
      </c>
      <c r="Z2" s="3" t="inlineStr">
        <is>
          <t>100 Mbps at 115 &gt; 250 Mbps at 70</t>
        </is>
      </c>
      <c r="AA2" s="6" t="inlineStr">
        <is>
          <t>OUTSIDE_BAND - compared without converting currency</t>
        </is>
      </c>
    </row>
    <row r="3">
      <c r="A3" s="6" t="inlineStr">
        <is>
          <t>AU-BROADBAND_HFC-2000-researched</t>
        </is>
      </c>
      <c r="B3" s="6" t="inlineStr">
        <is>
          <t>AU</t>
        </is>
      </c>
      <c r="C3" s="6" t="inlineStr">
        <is>
          <t>BROADBAND_HFC</t>
        </is>
      </c>
      <c r="D3" s="6" t="n">
        <v>2000</v>
      </c>
      <c r="E3" s="7" t="inlineStr">
        <is>
          <t>Approve</t>
        </is>
      </c>
      <c r="F3" s="3" t="inlineStr">
        <is>
          <t>Aussie Broadband business Hyperfast 2000, published; a trade guide puts business fibre plans at A$100-220.</t>
        </is>
      </c>
      <c r="G3" s="8" t="inlineStr">
        <is>
          <t>Approve</t>
        </is>
      </c>
      <c r="H3" s="9">
        <f>J3*0.75</f>
        <v>165</v>
      </c>
      <c r="I3" s="9">
        <f>J3*1.25</f>
        <v>275</v>
      </c>
      <c r="J3" s="10" t="n">
        <v>220</v>
      </c>
      <c r="K3" s="6" t="inlineStr">
        <is>
          <t>AUD</t>
        </is>
      </c>
      <c r="L3" s="10" t="n">
        <v>148.65</v>
      </c>
      <c r="M3" s="10" t="n"/>
      <c r="N3" s="31" t="str">
        <f>IF(OR(L3="",M3=""),"",L3/M3)</f>
        <v/>
      </c>
      <c r="O3" s="6" t="inlineStr">
        <is>
          <t>none - new tier</t>
        </is>
      </c>
      <c r="P3" s="6" t="inlineStr">
        <is>
          <t>business retail</t>
        </is>
      </c>
      <c r="Q3" s="3" t="inlineStr">
        <is>
          <t>BROADBAND_HFC AU 2000Mbps MRC (Aussie Broadband Business Hyperfast HFC)</t>
        </is>
      </c>
      <c r="R3" s="6" t="inlineStr">
        <is>
          <t>Aussie Broadband / WhistleOut; AGGREGATOR/SNIPPET_ONLY</t>
        </is>
      </c>
      <c r="S3" s="3" t="inlineStr">
        <is>
          <t>Aussie Broadband FTTP Business Hyperfast Plus 2000/500 Unlimited Data $220/mth</t>
        </is>
      </c>
      <c r="T3" s="6" t="inlineStr">
        <is>
          <t>https://www.whistleout.com.au/Broadband/Guides/NBN-business-plans-compared</t>
        </is>
      </c>
      <c r="U3" s="6" t="inlineStr">
        <is>
          <t>2026</t>
        </is>
      </c>
      <c r="V3" s="6" t="inlineStr">
        <is>
          <t>woolworths</t>
        </is>
      </c>
      <c r="W3" s="32" t="n">
        <v>-75022.89891891892</v>
      </c>
      <c r="X3" s="6" t="n">
        <v>1130</v>
      </c>
      <c r="Y3" s="3" t="inlineStr">
        <is>
          <t>woolworths -75,023</t>
        </is>
      </c>
      <c r="Z3" s="3" t="inlineStr">
        <is>
          <t>1000 Mbps at 250 &gt; 2000 Mbps at 149</t>
        </is>
      </c>
      <c r="AA3" s="6" t="inlineStr">
        <is>
          <t>NO_BENCHMARK_AT_BANDWIDTH - compared without converting currency</t>
        </is>
      </c>
    </row>
    <row r="4">
      <c r="A4" s="6" t="inlineStr">
        <is>
          <t>AU-BROADBAND_PON-250-researched</t>
        </is>
      </c>
      <c r="B4" s="6" t="inlineStr">
        <is>
          <t>AU</t>
        </is>
      </c>
      <c r="C4" s="6" t="inlineStr">
        <is>
          <t>BROADBAND_PON</t>
        </is>
      </c>
      <c r="D4" s="6" t="n">
        <v>250</v>
      </c>
      <c r="E4" s="7" t="inlineStr">
        <is>
          <t>Approve</t>
        </is>
      </c>
      <c r="F4" s="3" t="inlineStr">
        <is>
          <t>Aussie Broadband business FTTP 250/100, published by the provider and confirmed by an aggregator.</t>
        </is>
      </c>
      <c r="G4" s="8" t="inlineStr">
        <is>
          <t>Approve</t>
        </is>
      </c>
      <c r="H4" s="9">
        <f>J4*0.75</f>
        <v>85.5</v>
      </c>
      <c r="I4" s="9">
        <f>J4*1.25</f>
        <v>142.5</v>
      </c>
      <c r="J4" s="10" t="n">
        <v>114</v>
      </c>
      <c r="K4" s="6" t="inlineStr">
        <is>
          <t>AUD</t>
        </is>
      </c>
      <c r="L4" s="10" t="n">
        <v>77.03</v>
      </c>
      <c r="M4" s="10" t="n">
        <v>101</v>
      </c>
      <c r="N4" s="31">
        <f>IF(OR(L4="",M4=""),"",L4/M4)</f>
        <v>0.762673267326733</v>
      </c>
      <c r="O4" s="6" t="inlineStr">
        <is>
          <t>SEED</t>
        </is>
      </c>
      <c r="P4" s="6" t="inlineStr">
        <is>
          <t>business retail</t>
        </is>
      </c>
      <c r="Q4" s="3" t="inlineStr">
        <is>
          <t>BROADBAND_PON AU 250Mbps MRC (Aussie Broadband Business FTTP 250/100)</t>
        </is>
      </c>
      <c r="R4" s="6" t="inlineStr">
        <is>
          <t>Aussie Broadband Enterprise; COMPANY_PUBLISHED/SNIPPET_ONLY</t>
        </is>
      </c>
      <c r="S4" s="3" t="inlineStr">
        <is>
          <t>Superfast Plus 250/100 $114/month</t>
        </is>
      </c>
      <c r="T4" s="6" t="inlineStr">
        <is>
          <t>https://www.aussiebroadband.com.au/enterprise/internet/nbn-plans/</t>
        </is>
      </c>
      <c r="U4" s="6" t="inlineStr">
        <is>
          <t>2026</t>
        </is>
      </c>
      <c r="V4" s="6" t="inlineStr">
        <is>
          <t>woolworths</t>
        </is>
      </c>
      <c r="W4" s="32" t="n">
        <v>0</v>
      </c>
      <c r="X4" s="6" t="n">
        <v>0</v>
      </c>
      <c r="Y4" s="3" t="inlineStr"/>
      <c r="Z4" s="3" t="inlineStr">
        <is>
          <t>no</t>
        </is>
      </c>
      <c r="AA4" s="6" t="inlineStr">
        <is>
          <t>WITHIN_BAND - compared without converting currency</t>
        </is>
      </c>
    </row>
    <row r="5">
      <c r="A5" s="6" t="inlineStr">
        <is>
          <t>AU-ETHERNET-250-researched</t>
        </is>
      </c>
      <c r="B5" s="6" t="inlineStr">
        <is>
          <t>AU</t>
        </is>
      </c>
      <c r="C5" s="6" t="inlineStr">
        <is>
          <t>ETHERNET</t>
        </is>
      </c>
      <c r="D5" s="6" t="n">
        <v>250</v>
      </c>
      <c r="E5" s="7" t="inlineStr">
        <is>
          <t>Approve</t>
        </is>
      </c>
      <c r="F5" s="3" t="inlineStr">
        <is>
          <t>NBN Enterprise Ethernet retail, ex GST, 36-month: Swoop and Vocus publish the same A$399.</t>
        </is>
      </c>
      <c r="G5" s="8" t="inlineStr">
        <is>
          <t>Approve</t>
        </is>
      </c>
      <c r="H5" s="9">
        <f>J5*0.75</f>
        <v>299.25</v>
      </c>
      <c r="I5" s="9">
        <f>J5*1.25</f>
        <v>498.75</v>
      </c>
      <c r="J5" s="10" t="n">
        <v>399</v>
      </c>
      <c r="K5" s="6" t="inlineStr">
        <is>
          <t>AUD</t>
        </is>
      </c>
      <c r="L5" s="10" t="n">
        <v>269.59</v>
      </c>
      <c r="M5" s="10" t="n"/>
      <c r="N5" s="31" t="str">
        <f>IF(OR(L5="",M5=""),"",L5/M5)</f>
        <v/>
      </c>
      <c r="O5" s="6" t="inlineStr">
        <is>
          <t>none - new tier</t>
        </is>
      </c>
      <c r="P5" s="6" t="inlineStr">
        <is>
          <t>business retail</t>
        </is>
      </c>
      <c r="Q5" s="3" t="inlineStr">
        <is>
          <t>ETHERNET AU 250Mbps MRC (NBN Enterprise Ethernet retail, ex GST)</t>
        </is>
      </c>
      <c r="R5" s="6" t="inlineStr">
        <is>
          <t>Swoop; COMPANY_PUBLISHED/SNIPPET_ONLY</t>
        </is>
      </c>
      <c r="S5" s="3" t="inlineStr">
        <is>
          <t>Business Fibre 250/250 Mbps $399 per month</t>
        </is>
      </c>
      <c r="T5" s="6" t="inlineStr">
        <is>
          <t>https://www.swoop.com.au/business/enterprise-ethernet/</t>
        </is>
      </c>
      <c r="U5" s="6" t="inlineStr">
        <is>
          <t>2026</t>
        </is>
      </c>
      <c r="V5" s="6" t="inlineStr">
        <is>
          <t>woolworths</t>
        </is>
      </c>
      <c r="W5" s="32" t="n">
        <v>-53227.97691891892</v>
      </c>
      <c r="X5" s="6" t="n">
        <v>5</v>
      </c>
      <c r="Y5" s="3" t="inlineStr">
        <is>
          <t>woolworths -53,228</t>
        </is>
      </c>
      <c r="Z5" s="3" t="inlineStr">
        <is>
          <t>no</t>
        </is>
      </c>
      <c r="AA5" s="6" t="inlineStr">
        <is>
          <t>NO_BENCHMARK_AT_BANDWIDTH - compared without converting currency</t>
        </is>
      </c>
    </row>
    <row r="6">
      <c r="A6" s="6" t="inlineStr">
        <is>
          <t>AU-ETHERNET-500-researched</t>
        </is>
      </c>
      <c r="B6" s="6" t="inlineStr">
        <is>
          <t>AU</t>
        </is>
      </c>
      <c r="C6" s="6" t="inlineStr">
        <is>
          <t>ETHERNET</t>
        </is>
      </c>
      <c r="D6" s="6" t="n">
        <v>500</v>
      </c>
      <c r="E6" s="7" t="inlineStr">
        <is>
          <t>Approve</t>
        </is>
      </c>
      <c r="F6" s="3" t="inlineStr">
        <is>
          <t>NBN Enterprise Ethernet retail, ex GST, 36-month: Vocus A$469, Swoop A$499.</t>
        </is>
      </c>
      <c r="G6" s="8" t="inlineStr">
        <is>
          <t>Approve</t>
        </is>
      </c>
      <c r="H6" s="9">
        <f>J6*0.75</f>
        <v>351.75</v>
      </c>
      <c r="I6" s="9">
        <f>J6*1.25</f>
        <v>586.25</v>
      </c>
      <c r="J6" s="10" t="n">
        <v>469</v>
      </c>
      <c r="K6" s="6" t="inlineStr">
        <is>
          <t>AUD</t>
        </is>
      </c>
      <c r="L6" s="10" t="n">
        <v>316.89</v>
      </c>
      <c r="M6" s="10" t="n">
        <v>1288</v>
      </c>
      <c r="N6" s="31">
        <f>IF(OR(L6="",M6=""),"",L6/M6)</f>
        <v>0.246032608695652</v>
      </c>
      <c r="O6" s="6" t="inlineStr">
        <is>
          <t>SEED</t>
        </is>
      </c>
      <c r="P6" s="6" t="inlineStr">
        <is>
          <t>business retail</t>
        </is>
      </c>
      <c r="Q6" s="3" t="inlineStr">
        <is>
          <t>ETHERNET AU 500Mbps MRC (NBN Enterprise Ethernet retail, ex GST)</t>
        </is>
      </c>
      <c r="R6" s="6" t="inlineStr">
        <is>
          <t>Vocus; COMPANY_PUBLISHED/SNIPPET_ONLY</t>
        </is>
      </c>
      <c r="S6" s="3" t="inlineStr">
        <is>
          <t>500/500Mbps Starting at $469 / per month (ex. GST)</t>
        </is>
      </c>
      <c r="T6" s="6" t="inlineStr">
        <is>
          <t>https://www.vocus.com.au/enterprise/internet-and-networks/nbn-enterprise-ethernet</t>
        </is>
      </c>
      <c r="U6" s="6" t="inlineStr">
        <is>
          <t>2026</t>
        </is>
      </c>
      <c r="V6" s="6" t="inlineStr">
        <is>
          <t>woolworths</t>
        </is>
      </c>
      <c r="W6" s="32" t="n">
        <v>-50755.93637837838</v>
      </c>
      <c r="X6" s="6" t="n">
        <v>5</v>
      </c>
      <c r="Y6" s="3" t="inlineStr">
        <is>
          <t>woolworths -50,756</t>
        </is>
      </c>
      <c r="Z6" s="3" t="inlineStr">
        <is>
          <t>no</t>
        </is>
      </c>
      <c r="AA6" s="6" t="inlineStr">
        <is>
          <t>OUTSIDE_BAND - compared without converting currency</t>
        </is>
      </c>
    </row>
    <row r="7">
      <c r="A7" s="6" t="inlineStr">
        <is>
          <t>AU-ETHERNET-1000-researched</t>
        </is>
      </c>
      <c r="B7" s="6" t="inlineStr">
        <is>
          <t>AU</t>
        </is>
      </c>
      <c r="C7" s="6" t="inlineStr">
        <is>
          <t>ETHERNET</t>
        </is>
      </c>
      <c r="D7" s="6" t="n">
        <v>1000</v>
      </c>
      <c r="E7" s="7" t="inlineStr">
        <is>
          <t>Approve</t>
        </is>
      </c>
      <c r="F7" s="3" t="inlineStr">
        <is>
          <t>NBN Enterprise Ethernet retail, ex GST, 36-month: Swoop and Vocus A$699, Telstra via Telair A$659.</t>
        </is>
      </c>
      <c r="G7" s="8" t="inlineStr">
        <is>
          <t>Approve</t>
        </is>
      </c>
      <c r="H7" s="9">
        <f>J7*0.75</f>
        <v>524.25</v>
      </c>
      <c r="I7" s="9">
        <f>J7*1.25</f>
        <v>873.75</v>
      </c>
      <c r="J7" s="10" t="n">
        <v>699</v>
      </c>
      <c r="K7" s="6" t="inlineStr">
        <is>
          <t>AUD</t>
        </is>
      </c>
      <c r="L7" s="10" t="n">
        <v>472.3</v>
      </c>
      <c r="M7" s="10" t="n">
        <v>1450</v>
      </c>
      <c r="N7" s="31">
        <f>IF(OR(L7="",M7=""),"",L7/M7)</f>
        <v>0.325724137931034</v>
      </c>
      <c r="O7" s="6" t="inlineStr">
        <is>
          <t>SEED</t>
        </is>
      </c>
      <c r="P7" s="6" t="inlineStr">
        <is>
          <t>business retail</t>
        </is>
      </c>
      <c r="Q7" s="3" t="inlineStr">
        <is>
          <t>ETHERNET AU 1000Mbps MRC (NBN Enterprise Ethernet retail, ex GST)</t>
        </is>
      </c>
      <c r="R7" s="6" t="inlineStr">
        <is>
          <t>Swoop; COMPANY_PUBLISHED/SNIPPET_ONLY</t>
        </is>
      </c>
      <c r="S7" s="3" t="inlineStr">
        <is>
          <t>Business Fibre 1000/1000 Mbps $699 per month</t>
        </is>
      </c>
      <c r="T7" s="6" t="inlineStr">
        <is>
          <t>https://www.swoop.com.au/business/enterprise-ethernet/</t>
        </is>
      </c>
      <c r="U7" s="6" t="inlineStr">
        <is>
          <t>2026</t>
        </is>
      </c>
      <c r="V7" s="6" t="inlineStr">
        <is>
          <t>woolworths</t>
        </is>
      </c>
      <c r="W7" s="32" t="n">
        <v>-347193.1528984595</v>
      </c>
      <c r="X7" s="6" t="n">
        <v>25</v>
      </c>
      <c r="Y7" s="3" t="inlineStr">
        <is>
          <t>rio-tinto -304,560; woolworths -42,634</t>
        </is>
      </c>
      <c r="Z7" s="3" t="inlineStr">
        <is>
          <t>500 Mbps at 1288 &gt; 1000 Mbps at 472</t>
        </is>
      </c>
      <c r="AA7" s="6" t="inlineStr">
        <is>
          <t>OUTSIDE_BAND - compared without converting currency</t>
        </is>
      </c>
    </row>
    <row r="8">
      <c r="A8" s="6" t="inlineStr">
        <is>
          <t>BE-BROADBAND_PON-150-researched</t>
        </is>
      </c>
      <c r="B8" s="6" t="inlineStr">
        <is>
          <t>BE</t>
        </is>
      </c>
      <c r="C8" s="6" t="inlineStr">
        <is>
          <t>BROADBAND_PON</t>
        </is>
      </c>
      <c r="D8" s="6" t="n">
        <v>150</v>
      </c>
      <c r="E8" s="7" t="inlineStr">
        <is>
          <t>Approve</t>
        </is>
      </c>
      <c r="F8" s="3" t="inlineStr">
        <is>
          <t>Proximus Business Go Fiber 150, the standard price after the 12-month promotion, ex VAT, read from the full page.</t>
        </is>
      </c>
      <c r="G8" s="8" t="inlineStr">
        <is>
          <t>Approve</t>
        </is>
      </c>
      <c r="H8" s="9">
        <f>J8*0.75</f>
        <v>45</v>
      </c>
      <c r="I8" s="9">
        <f>J8*1.25</f>
        <v>75</v>
      </c>
      <c r="J8" s="10" t="n">
        <v>60</v>
      </c>
      <c r="K8" s="6" t="inlineStr">
        <is>
          <t>EUR</t>
        </is>
      </c>
      <c r="L8" s="10" t="n">
        <v>68.88</v>
      </c>
      <c r="M8" s="10" t="n"/>
      <c r="N8" s="31" t="str">
        <f>IF(OR(L8="",M8=""),"",L8/M8)</f>
        <v/>
      </c>
      <c r="O8" s="6" t="inlineStr">
        <is>
          <t>none - new tier</t>
        </is>
      </c>
      <c r="P8" s="6" t="inlineStr">
        <is>
          <t>business retail</t>
        </is>
      </c>
      <c r="Q8" s="3" t="inlineStr">
        <is>
          <t>BROADBAND_PON 150 Mbps MRC (business shared fibre, Proximus Go Fiber)</t>
        </is>
      </c>
      <c r="R8" s="6" t="inlineStr">
        <is>
          <t>Proximus (proximus.be); COMPANY_PUBLISHED/FULL_PAGE</t>
        </is>
      </c>
      <c r="S8" s="3" t="inlineStr">
        <is>
          <t>Business Internet Go Fiber 150 Mbps: €45/month during 12 months, then €60/month</t>
        </is>
      </c>
      <c r="T8" s="6" t="inlineStr">
        <is>
          <t>https://www.proximus.be/en/business/internet-subscription</t>
        </is>
      </c>
      <c r="U8" s="6" t="inlineStr">
        <is>
          <t>2025</t>
        </is>
      </c>
      <c r="V8" s="6" t="inlineStr">
        <is>
          <t>bnp-paribas</t>
        </is>
      </c>
      <c r="W8" s="32" t="n">
        <v>0</v>
      </c>
      <c r="X8" s="6" t="n">
        <v>0</v>
      </c>
      <c r="Y8" s="3" t="inlineStr"/>
      <c r="Z8" s="3" t="inlineStr">
        <is>
          <t>no</t>
        </is>
      </c>
      <c r="AA8" s="6" t="inlineStr">
        <is>
          <t>NO_BENCHMARK_AT_BANDWIDTH - compared without converting currency</t>
        </is>
      </c>
    </row>
    <row r="9">
      <c r="A9" s="6" t="inlineStr">
        <is>
          <t>FR-DIA-1000-researched</t>
        </is>
      </c>
      <c r="B9" s="6" t="inlineStr">
        <is>
          <t>FR</t>
        </is>
      </c>
      <c r="C9" s="6" t="inlineStr">
        <is>
          <t>DIA</t>
        </is>
      </c>
      <c r="D9" s="6" t="n">
        <v>1000</v>
      </c>
      <c r="E9" s="7" t="inlineStr">
        <is>
          <t>Approve</t>
        </is>
      </c>
      <c r="F9" s="3" t="inlineStr">
        <is>
          <t>Orange Business FTTO 1 Gbps, approximately EUR 1,200 per a trade-press snippet. It sits close to the seed (0.91x).</t>
        </is>
      </c>
      <c r="G9" s="8" t="inlineStr">
        <is>
          <t>Approve</t>
        </is>
      </c>
      <c r="H9" s="9">
        <f>J9*0.75</f>
        <v>900</v>
      </c>
      <c r="I9" s="9">
        <f>J9*1.25</f>
        <v>1500</v>
      </c>
      <c r="J9" s="10" t="n">
        <v>1200</v>
      </c>
      <c r="K9" s="6" t="inlineStr">
        <is>
          <t>EUR</t>
        </is>
      </c>
      <c r="L9" s="10" t="n">
        <v>1377.57</v>
      </c>
      <c r="M9" s="10" t="n">
        <v>1520</v>
      </c>
      <c r="N9" s="31">
        <f>IF(OR(L9="",M9=""),"",L9/M9)</f>
        <v>0.906296052631579</v>
      </c>
      <c r="O9" s="6" t="inlineStr">
        <is>
          <t>SEED</t>
        </is>
      </c>
      <c r="P9" s="6" t="inlineStr">
        <is>
          <t>business retail indicative</t>
        </is>
      </c>
      <c r="Q9" s="3" t="inlineStr">
        <is>
          <t>DIA 1000 Mbps MRC France (Orange Business FTTO dedicated fibre)</t>
        </is>
      </c>
      <c r="R9" s="6" t="inlineStr">
        <is>
          <t>myadsl.fr; TRADE_PRESS/SNIPPET_ONLY</t>
        </is>
      </c>
      <c r="S9" s="3" t="inlineStr">
        <is>
          <t>Offre intermédiaire: 1 Gb/s, SLA amélioré, support 24/7 – tarif mensuel approximatif: 1 200 €</t>
        </is>
      </c>
      <c r="T9" s="6" t="inlineStr">
        <is>
          <t>https://www.myadsl.fr/cout-ftto-orange-2025/</t>
        </is>
      </c>
      <c r="U9" s="6" t="inlineStr">
        <is>
          <t>2025</t>
        </is>
      </c>
      <c r="V9" s="6" t="inlineStr">
        <is>
          <t>bnp-paribas</t>
        </is>
      </c>
      <c r="W9" s="32" t="n">
        <v>-106959.98274275</v>
      </c>
      <c r="X9" s="6" t="n">
        <v>72</v>
      </c>
      <c r="Y9" s="3" t="inlineStr">
        <is>
          <t>bnp-paribas -29,777; siemens -26,800; capgemini -14,889</t>
        </is>
      </c>
      <c r="Z9" s="3" t="inlineStr">
        <is>
          <t>500 Mbps at 1398 &gt; 1000 Mbps at 1378</t>
        </is>
      </c>
      <c r="AA9" s="6" t="inlineStr">
        <is>
          <t>WITHIN_BAND - compared without converting currency</t>
        </is>
      </c>
    </row>
    <row r="10">
      <c r="A10" s="6" t="inlineStr">
        <is>
          <t>GB-BROADBAND_HFC-200-researched</t>
        </is>
      </c>
      <c r="B10" s="6" t="inlineStr">
        <is>
          <t>GB</t>
        </is>
      </c>
      <c r="C10" s="6" t="inlineStr">
        <is>
          <t>BROADBAND_HFC</t>
        </is>
      </c>
      <c r="D10" s="6" t="n">
        <v>200</v>
      </c>
      <c r="E10" s="7" t="inlineStr">
        <is>
          <t>Approve</t>
        </is>
      </c>
      <c r="F10" s="3" t="inlineStr">
        <is>
          <t>Virgin Media Business Voom 200, published, ex VAT, 24-month.</t>
        </is>
      </c>
      <c r="G10" s="8" t="inlineStr">
        <is>
          <t>Approve</t>
        </is>
      </c>
      <c r="H10" s="9">
        <f>J10*0.75</f>
        <v>22.4625</v>
      </c>
      <c r="I10" s="9">
        <f>J10*1.25</f>
        <v>37.4375</v>
      </c>
      <c r="J10" s="10" t="n">
        <v>29.95</v>
      </c>
      <c r="K10" s="6" t="inlineStr">
        <is>
          <t>GBP</t>
        </is>
      </c>
      <c r="L10" s="10" t="n">
        <v>40.13</v>
      </c>
      <c r="M10" s="10" t="n"/>
      <c r="N10" s="31" t="str">
        <f>IF(OR(L10="",M10=""),"",L10/M10)</f>
        <v/>
      </c>
      <c r="O10" s="6" t="inlineStr">
        <is>
          <t>none - new tier</t>
        </is>
      </c>
      <c r="P10" s="6" t="inlineStr">
        <is>
          <t>business retail</t>
        </is>
      </c>
      <c r="Q10" s="3" t="inlineStr">
        <is>
          <t>BROADBAND_HFC 200Mbps MRC (Virgin Media Business Voom 200)</t>
        </is>
      </c>
      <c r="R10" s="6" t="inlineStr">
        <is>
          <t>virginmediabusiness.co.uk; COMPANY_PUBLISHED/SNIPPET_ONLY</t>
        </is>
      </c>
      <c r="S10" s="3" t="inlineStr">
        <is>
          <t>Prices start from just £29.95 per month</t>
        </is>
      </c>
      <c r="T10" s="6" t="inlineStr">
        <is>
          <t>https://www.virginmediabusiness.co.uk/connectivity/internet-access/business-broadband/</t>
        </is>
      </c>
      <c r="U10" s="6" t="inlineStr">
        <is>
          <t>2026</t>
        </is>
      </c>
      <c r="V10" s="6" t="inlineStr">
        <is>
          <t>boots</t>
        </is>
      </c>
      <c r="W10" s="32" t="n">
        <v>-4265183.002687927</v>
      </c>
      <c r="X10" s="6" t="n">
        <v>5864</v>
      </c>
      <c r="Y10" s="3" t="inlineStr">
        <is>
          <t>tesco -2,729,944; boots -1,535,239</t>
        </is>
      </c>
      <c r="Z10" s="3" t="inlineStr">
        <is>
          <t>100 Mbps at 80 &gt; 200 Mbps at 40</t>
        </is>
      </c>
      <c r="AA10" s="6" t="inlineStr">
        <is>
          <t>NO_BENCHMARK_AT_BANDWIDTH - compared without converting currency</t>
        </is>
      </c>
    </row>
    <row r="11">
      <c r="A11" s="6" t="inlineStr">
        <is>
          <t>GB-BROADBAND_HFC-400-researched</t>
        </is>
      </c>
      <c r="B11" s="6" t="inlineStr">
        <is>
          <t>GB</t>
        </is>
      </c>
      <c r="C11" s="6" t="inlineStr">
        <is>
          <t>BROADBAND_HFC</t>
        </is>
      </c>
      <c r="D11" s="6" t="n">
        <v>400</v>
      </c>
      <c r="E11" s="7" t="inlineStr">
        <is>
          <t>Approve</t>
        </is>
      </c>
      <c r="F11" s="3" t="inlineStr">
        <is>
          <t>Virgin Media Business Voom 400, published, ex VAT, 24-month.</t>
        </is>
      </c>
      <c r="G11" s="8" t="inlineStr">
        <is>
          <t>Approve</t>
        </is>
      </c>
      <c r="H11" s="9">
        <f>J11*0.75</f>
        <v>26.2125</v>
      </c>
      <c r="I11" s="9">
        <f>J11*1.25</f>
        <v>43.6875</v>
      </c>
      <c r="J11" s="10" t="n">
        <v>34.95</v>
      </c>
      <c r="K11" s="6" t="inlineStr">
        <is>
          <t>GBP</t>
        </is>
      </c>
      <c r="L11" s="10" t="n">
        <v>46.83</v>
      </c>
      <c r="M11" s="10" t="n"/>
      <c r="N11" s="31" t="str">
        <f>IF(OR(L11="",M11=""),"",L11/M11)</f>
        <v/>
      </c>
      <c r="O11" s="6" t="inlineStr">
        <is>
          <t>none - new tier</t>
        </is>
      </c>
      <c r="P11" s="6" t="inlineStr">
        <is>
          <t>business retail</t>
        </is>
      </c>
      <c r="Q11" s="3" t="inlineStr">
        <is>
          <t>BROADBAND_HFC 400Mbps MRC — Virgin Media Business Voom 400</t>
        </is>
      </c>
      <c r="R11" s="6" t="inlineStr">
        <is>
          <t>virginmediabusiness.co.uk; COMPANY_PUBLISHED/SNIPPET_ONLY</t>
        </is>
      </c>
      <c r="S11" s="3" t="inlineStr">
        <is>
          <t>Voom 400 | Download 400Mbps | £34.95 per month</t>
        </is>
      </c>
      <c r="T11" s="6" t="inlineStr">
        <is>
          <t>https://www.virginmediabusiness.co.uk/connectivity/internet-access/business-broadband/</t>
        </is>
      </c>
      <c r="U11" s="6" t="inlineStr">
        <is>
          <t>2026</t>
        </is>
      </c>
      <c r="V11" s="6" t="inlineStr">
        <is>
          <t>not recorded</t>
        </is>
      </c>
      <c r="W11" s="32" t="n">
        <v>-5784801.296767041</v>
      </c>
      <c r="X11" s="6" t="n">
        <v>7780</v>
      </c>
      <c r="Y11" s="3" t="inlineStr">
        <is>
          <t>tesco -2,460,455; mcdonalds -1,526,396; boots -1,383,686</t>
        </is>
      </c>
      <c r="Z11" s="3" t="inlineStr">
        <is>
          <t>250 Mbps at 108 &gt; 400 Mbps at 47</t>
        </is>
      </c>
      <c r="AA11" s="6" t="inlineStr">
        <is>
          <t>NO_BENCHMARK_AT_BANDWIDTH - compared without converting currency</t>
        </is>
      </c>
    </row>
    <row r="12">
      <c r="A12" s="6" t="inlineStr">
        <is>
          <t>GB-BROADBAND_HFC-600-researched</t>
        </is>
      </c>
      <c r="B12" s="6" t="inlineStr">
        <is>
          <t>GB</t>
        </is>
      </c>
      <c r="C12" s="6" t="inlineStr">
        <is>
          <t>BROADBAND_HFC</t>
        </is>
      </c>
      <c r="D12" s="6" t="n">
        <v>600</v>
      </c>
      <c r="E12" s="7" t="inlineStr">
        <is>
          <t>Approve</t>
        </is>
      </c>
      <c r="F12" s="3" t="inlineStr">
        <is>
          <t>Virgin Media Business Voom 600, published, ex VAT, 24-month.</t>
        </is>
      </c>
      <c r="G12" s="8" t="inlineStr">
        <is>
          <t>Approve</t>
        </is>
      </c>
      <c r="H12" s="9">
        <f>J12*0.75</f>
        <v>29.2125</v>
      </c>
      <c r="I12" s="9">
        <f>J12*1.25</f>
        <v>48.6875</v>
      </c>
      <c r="J12" s="10" t="n">
        <v>38.95</v>
      </c>
      <c r="K12" s="6" t="inlineStr">
        <is>
          <t>GBP</t>
        </is>
      </c>
      <c r="L12" s="10" t="n">
        <v>52.19</v>
      </c>
      <c r="M12" s="10" t="n"/>
      <c r="N12" s="31" t="str">
        <f>IF(OR(L12="",M12=""),"",L12/M12)</f>
        <v/>
      </c>
      <c r="O12" s="6" t="inlineStr">
        <is>
          <t>none - new tier</t>
        </is>
      </c>
      <c r="P12" s="6" t="inlineStr">
        <is>
          <t>business retail</t>
        </is>
      </c>
      <c r="Q12" s="3" t="inlineStr">
        <is>
          <t>BROADBAND_HFC 600Mbps MRC — Virgin Media Business Voom 600</t>
        </is>
      </c>
      <c r="R12" s="6" t="inlineStr">
        <is>
          <t>virginmediabusiness.co.uk; COMPANY_PUBLISHED/SNIPPET_ONLY</t>
        </is>
      </c>
      <c r="S12" s="3" t="inlineStr">
        <is>
          <t>Voom 600 | Download 600Mbps | £38.95 per month</t>
        </is>
      </c>
      <c r="T12" s="6" t="inlineStr">
        <is>
          <t>https://www.virginmediabusiness.co.uk/connectivity/internet-access/business-broadband/</t>
        </is>
      </c>
      <c r="U12" s="6" t="inlineStr">
        <is>
          <t>2026</t>
        </is>
      </c>
      <c r="V12" s="6" t="inlineStr">
        <is>
          <t>not recorded</t>
        </is>
      </c>
      <c r="W12" s="32" t="n">
        <v>-5336326.94181454</v>
      </c>
      <c r="X12" s="6" t="n">
        <v>7780</v>
      </c>
      <c r="Y12" s="3" t="inlineStr">
        <is>
          <t>tesco -2,244,864; mcdonalds -1,438,586; boots -1,262,444</t>
        </is>
      </c>
      <c r="Z12" s="3" t="inlineStr">
        <is>
          <t>500 Mbps at 140 &gt; 600 Mbps at 52</t>
        </is>
      </c>
      <c r="AA12" s="6" t="inlineStr">
        <is>
          <t>NO_BENCHMARK_AT_BANDWIDTH - compared without converting currency</t>
        </is>
      </c>
    </row>
    <row r="13">
      <c r="A13" s="6" t="inlineStr">
        <is>
          <t>GB-BROADBAND_HFC-1000-researched</t>
        </is>
      </c>
      <c r="B13" s="6" t="inlineStr">
        <is>
          <t>GB</t>
        </is>
      </c>
      <c r="C13" s="6" t="inlineStr">
        <is>
          <t>BROADBAND_HFC</t>
        </is>
      </c>
      <c r="D13" s="6" t="n">
        <v>1000</v>
      </c>
      <c r="E13" s="7" t="inlineStr">
        <is>
          <t>Approve</t>
        </is>
      </c>
      <c r="F13" s="3" t="inlineStr">
        <is>
          <t>Virgin Media Business Voom Gig1, published, ex VAT, 24-month.</t>
        </is>
      </c>
      <c r="G13" s="8" t="inlineStr">
        <is>
          <t>Approve</t>
        </is>
      </c>
      <c r="H13" s="9">
        <f>J13*0.75</f>
        <v>32.9625</v>
      </c>
      <c r="I13" s="9">
        <f>J13*1.25</f>
        <v>54.9375</v>
      </c>
      <c r="J13" s="10" t="n">
        <v>43.95</v>
      </c>
      <c r="K13" s="6" t="inlineStr">
        <is>
          <t>GBP</t>
        </is>
      </c>
      <c r="L13" s="10" t="n">
        <v>58.89</v>
      </c>
      <c r="M13" s="10" t="n">
        <v>176</v>
      </c>
      <c r="N13" s="31">
        <f>IF(OR(L13="",M13=""),"",L13/M13)</f>
        <v>0.334602272727273</v>
      </c>
      <c r="O13" s="6" t="inlineStr">
        <is>
          <t>SEED</t>
        </is>
      </c>
      <c r="P13" s="6" t="inlineStr">
        <is>
          <t>business retail</t>
        </is>
      </c>
      <c r="Q13" s="3" t="inlineStr">
        <is>
          <t>BROADBAND_HFC 1000Mbps MRC — Virgin Media Business Voom Gig1</t>
        </is>
      </c>
      <c r="R13" s="6" t="inlineStr">
        <is>
          <t>virginmediabusiness.co.uk; COMPANY_PUBLISHED/SNIPPET_ONLY</t>
        </is>
      </c>
      <c r="S13" s="3" t="inlineStr">
        <is>
          <t>Voom Gig1 | Download 1000Mbps | £43.95 per month</t>
        </is>
      </c>
      <c r="T13" s="6" t="inlineStr">
        <is>
          <t>https://www.virginmediabusiness.co.uk/connectivity/internet-access/business-broadband/</t>
        </is>
      </c>
      <c r="U13" s="6" t="inlineStr">
        <is>
          <t>2026</t>
        </is>
      </c>
      <c r="V13" s="6" t="inlineStr">
        <is>
          <t>not recorded</t>
        </is>
      </c>
      <c r="W13" s="32" t="n">
        <v>-4775733.994412914</v>
      </c>
      <c r="X13" s="6" t="n">
        <v>7780</v>
      </c>
      <c r="Y13" s="3" t="inlineStr">
        <is>
          <t>tesco -1,975,375; mcdonalds -1,328,824; boots -1,110,892</t>
        </is>
      </c>
      <c r="Z13" s="3" t="inlineStr">
        <is>
          <t>500 Mbps at 140 &gt; 1000 Mbps at 59</t>
        </is>
      </c>
      <c r="AA13" s="6" t="inlineStr">
        <is>
          <t>OUTSIDE_BAND - compared without converting currency</t>
        </is>
      </c>
    </row>
    <row r="14">
      <c r="A14" s="6" t="inlineStr">
        <is>
          <t>GB-BROADBAND_HFC-2000-researched</t>
        </is>
      </c>
      <c r="B14" s="6" t="inlineStr">
        <is>
          <t>GB</t>
        </is>
      </c>
      <c r="C14" s="6" t="inlineStr">
        <is>
          <t>BROADBAND_HFC</t>
        </is>
      </c>
      <c r="D14" s="6" t="n">
        <v>2000</v>
      </c>
      <c r="E14" s="7" t="inlineStr">
        <is>
          <t>Approve</t>
        </is>
      </c>
      <c r="F14" s="3" t="inlineStr">
        <is>
          <t>Virgin Media Business Voom Gig2, published, ex VAT, 24-month.</t>
        </is>
      </c>
      <c r="G14" s="8" t="inlineStr">
        <is>
          <t>Approve</t>
        </is>
      </c>
      <c r="H14" s="9">
        <f>J14*0.75</f>
        <v>62.9625</v>
      </c>
      <c r="I14" s="9">
        <f>J14*1.25</f>
        <v>104.9375</v>
      </c>
      <c r="J14" s="10" t="n">
        <v>83.95</v>
      </c>
      <c r="K14" s="6" t="inlineStr">
        <is>
          <t>GBP</t>
        </is>
      </c>
      <c r="L14" s="10" t="n">
        <v>112.49</v>
      </c>
      <c r="M14" s="10" t="n"/>
      <c r="N14" s="31" t="str">
        <f>IF(OR(L14="",M14=""),"",L14/M14)</f>
        <v/>
      </c>
      <c r="O14" s="6" t="inlineStr">
        <is>
          <t>none - new tier</t>
        </is>
      </c>
      <c r="P14" s="6" t="inlineStr">
        <is>
          <t>business retail</t>
        </is>
      </c>
      <c r="Q14" s="3" t="inlineStr">
        <is>
          <t>Virgin Media Business Voom Gig2</t>
        </is>
      </c>
      <c r="R14" s="6" t="inlineStr">
        <is>
          <t>Virgin Media Business; COMPANY_PUBLISHED/FULL_PAGE</t>
        </is>
      </c>
      <c r="S14" s="3" t="inlineStr">
        <is>
          <t>Voom Gig2: 2,000 Mbps download / 200 Mbps upload, £83.95/month, 24-month contract, ex VAT.</t>
        </is>
      </c>
      <c r="T14" s="6" t="inlineStr">
        <is>
          <t>https://www.virginmediabusiness.co.uk/connectivity/internet-access/business-broadband/</t>
        </is>
      </c>
      <c r="U14" s="6" t="inlineStr">
        <is>
          <t>2026-10</t>
        </is>
      </c>
      <c r="V14" s="6" t="inlineStr">
        <is>
          <t>royal-mail</t>
        </is>
      </c>
      <c r="W14" s="32" t="n">
        <v>-573054.4901818648</v>
      </c>
      <c r="X14" s="6" t="n">
        <v>1916</v>
      </c>
      <c r="Y14" s="3" t="inlineStr">
        <is>
          <t>mcdonalds -450,727; deutsche-post-dhl -103,186; royal-mail -13,459</t>
        </is>
      </c>
      <c r="Z14" s="3" t="inlineStr">
        <is>
          <t>1000 Mbps at 176 &gt; 2000 Mbps at 112</t>
        </is>
      </c>
      <c r="AA14" s="6" t="inlineStr">
        <is>
          <t>NO_BENCHMARK_AT_BANDWIDTH - compared without converting currency</t>
        </is>
      </c>
    </row>
    <row r="15">
      <c r="A15" s="6" t="inlineStr">
        <is>
          <t>GB-BROADBAND_PON-100-researched</t>
        </is>
      </c>
      <c r="B15" s="6" t="inlineStr">
        <is>
          <t>GB</t>
        </is>
      </c>
      <c r="C15" s="6" t="inlineStr">
        <is>
          <t>BROADBAND_PON</t>
        </is>
      </c>
      <c r="D15" s="6" t="n">
        <v>100</v>
      </c>
      <c r="E15" s="7" t="inlineStr">
        <is>
          <t>Approve</t>
        </is>
      </c>
      <c r="F15" s="3" t="inlineStr">
        <is>
          <t>BT Business Full Fibre 100 at GBP 35 a month ex VAT, published (verified May 2026).</t>
        </is>
      </c>
      <c r="G15" s="8" t="inlineStr">
        <is>
          <t>Approve</t>
        </is>
      </c>
      <c r="H15" s="9">
        <f>J15*0.75</f>
        <v>26.25</v>
      </c>
      <c r="I15" s="9">
        <f>J15*1.25</f>
        <v>43.75</v>
      </c>
      <c r="J15" s="10" t="n">
        <v>35</v>
      </c>
      <c r="K15" s="6" t="inlineStr">
        <is>
          <t>GBP</t>
        </is>
      </c>
      <c r="L15" s="10" t="n">
        <v>46.9</v>
      </c>
      <c r="M15" s="10" t="n">
        <v>70</v>
      </c>
      <c r="N15" s="31">
        <f>IF(OR(L15="",M15=""),"",L15/M15)</f>
        <v>0.67</v>
      </c>
      <c r="O15" s="6" t="inlineStr">
        <is>
          <t>SEED</t>
        </is>
      </c>
      <c r="P15" s="6" t="inlineStr">
        <is>
          <t>business retail</t>
        </is>
      </c>
      <c r="Q15" s="3" t="inlineStr">
        <is>
          <t>BT Business Full Fibre 100</t>
        </is>
      </c>
      <c r="R15" s="6" t="inlineStr">
        <is>
          <t>BT Business; COMPANY_PUBLISHED/FULL_PAGE</t>
        </is>
      </c>
      <c r="S15" s="3" t="inlineStr">
        <is>
          <t>Full Fibre 100 recorded at £35/month ex VAT in May 2026; current offers are address- and promotion-dependent.</t>
        </is>
      </c>
      <c r="T15" s="6" t="inlineStr">
        <is>
          <t>https://business.bt.com/products/broadband-and-internet/deals/</t>
        </is>
      </c>
      <c r="U15" s="6" t="inlineStr">
        <is>
          <t>2026-05</t>
        </is>
      </c>
      <c r="V15" s="6" t="inlineStr">
        <is>
          <t>saint-gobain</t>
        </is>
      </c>
      <c r="W15" s="32" t="n">
        <v>-742283.2166248914</v>
      </c>
      <c r="X15" s="6" t="n">
        <v>2847</v>
      </c>
      <c r="Y15" s="3" t="inlineStr">
        <is>
          <t>iberdrola -243,421; network-rail -216,375; nhs-england -161,315</t>
        </is>
      </c>
      <c r="Z15" s="3" t="inlineStr">
        <is>
          <t>50 Mbps at 58 &gt; 100 Mbps at 47</t>
        </is>
      </c>
      <c r="AA15" s="6" t="inlineStr">
        <is>
          <t>WITHIN_BAND - compared without converting currency</t>
        </is>
      </c>
    </row>
    <row r="16">
      <c r="A16" s="6" t="inlineStr">
        <is>
          <t>NL-DIA-200-researched</t>
        </is>
      </c>
      <c r="B16" s="6" t="inlineStr">
        <is>
          <t>NL</t>
        </is>
      </c>
      <c r="C16" s="6" t="inlineStr">
        <is>
          <t>DIA</t>
        </is>
      </c>
      <c r="D16" s="6" t="n">
        <v>200</v>
      </c>
      <c r="E16" s="7" t="inlineStr">
        <is>
          <t>Approve</t>
        </is>
      </c>
      <c r="F16" s="3" t="inlineStr">
        <is>
          <t>Eurofiber DIA 200 from about EUR 348, as quoted by a broker; a carrier's indicative business price. No circuit in the set uses it.</t>
        </is>
      </c>
      <c r="G16" s="8" t="inlineStr">
        <is>
          <t>Approve</t>
        </is>
      </c>
      <c r="H16" s="9">
        <f>J16*0.75</f>
        <v>261</v>
      </c>
      <c r="I16" s="9">
        <f>J16*1.25</f>
        <v>435</v>
      </c>
      <c r="J16" s="10" t="n">
        <v>348</v>
      </c>
      <c r="K16" s="6" t="inlineStr">
        <is>
          <t>EUR</t>
        </is>
      </c>
      <c r="L16" s="10" t="n">
        <v>399.49</v>
      </c>
      <c r="M16" s="10" t="n"/>
      <c r="N16" s="31" t="str">
        <f>IF(OR(L16="",M16=""),"",L16/M16)</f>
        <v/>
      </c>
      <c r="O16" s="6" t="inlineStr">
        <is>
          <t>none - new tier</t>
        </is>
      </c>
      <c r="P16" s="6" t="inlineStr">
        <is>
          <t>business retail indicative</t>
        </is>
      </c>
      <c r="Q16" s="3" t="inlineStr">
        <is>
          <t>DIA MRC 200 Mbps (NL, Eurofiber)</t>
        </is>
      </c>
      <c r="R16" s="6" t="inlineStr">
        <is>
          <t>Connected Networks; COMPANY_PUBLISHED/FULL_PAGE</t>
        </is>
      </c>
      <c r="S16" s="3" t="inlineStr">
        <is>
          <t>DIA pricing via Eurofiber starts from approximately €348/month for 200Mbps.</t>
        </is>
      </c>
      <c r="T16" s="6" t="inlineStr">
        <is>
          <t>https://www.connectednetworks.io/countries/holland-the-netherlands-business-internet-connectivity</t>
        </is>
      </c>
      <c r="U16" s="6" t="inlineStr">
        <is>
          <t>2025</t>
        </is>
      </c>
      <c r="V16" s="6" t="inlineStr">
        <is>
          <t>ahold-delhaize</t>
        </is>
      </c>
      <c r="W16" s="32" t="n">
        <v>0</v>
      </c>
      <c r="X16" s="6" t="n">
        <v>0</v>
      </c>
      <c r="Y16" s="3" t="inlineStr"/>
      <c r="Z16" s="3" t="inlineStr">
        <is>
          <t>100 Mbps at 500 &gt; 200 Mbps at 399</t>
        </is>
      </c>
      <c r="AA16" s="6" t="inlineStr">
        <is>
          <t>NO_BENCHMARK_AT_BANDWIDTH - compared without converting currency</t>
        </is>
      </c>
    </row>
    <row r="17">
      <c r="A17" s="6" t="inlineStr">
        <is>
          <t>SG-BROADBAND_PON-500-researched</t>
        </is>
      </c>
      <c r="B17" s="6" t="inlineStr">
        <is>
          <t>SG</t>
        </is>
      </c>
      <c r="C17" s="6" t="inlineStr">
        <is>
          <t>BROADBAND_PON</t>
        </is>
      </c>
      <c r="D17" s="6" t="n">
        <v>500</v>
      </c>
      <c r="E17" s="7" t="inlineStr">
        <is>
          <t>Approve</t>
        </is>
      </c>
      <c r="F17" s="3" t="inlineStr">
        <is>
          <t>Business dynamic fibre on a 24-month contract: StarHub S$109, Singtel S$118.</t>
        </is>
      </c>
      <c r="G17" s="8" t="inlineStr">
        <is>
          <t>Approve</t>
        </is>
      </c>
      <c r="H17" s="9">
        <f>J17*0.75</f>
        <v>81.75</v>
      </c>
      <c r="I17" s="9">
        <f>J17*1.25</f>
        <v>136.25</v>
      </c>
      <c r="J17" s="10" t="n">
        <v>109</v>
      </c>
      <c r="K17" s="6" t="inlineStr">
        <is>
          <t>SGD</t>
        </is>
      </c>
      <c r="L17" s="10" t="n">
        <v>85.16</v>
      </c>
      <c r="M17" s="10" t="n">
        <v>115</v>
      </c>
      <c r="N17" s="31">
        <f>IF(OR(L17="",M17=""),"",L17/M17)</f>
        <v>0.740521739130435</v>
      </c>
      <c r="O17" s="6" t="inlineStr">
        <is>
          <t>SEED</t>
        </is>
      </c>
      <c r="P17" s="6" t="inlineStr">
        <is>
          <t>business retail</t>
        </is>
      </c>
      <c r="Q17" s="3" t="inlineStr">
        <is>
          <t>BROADBAND_PON 500 Mbps MRC business dynamic — Singapore (Singtel)</t>
        </is>
      </c>
      <c r="R17" s="6" t="inlineStr">
        <is>
          <t>DollarsAndSense.sg; AGGREGATOR/SNIPPET_ONLY</t>
        </is>
      </c>
      <c r="S17" s="3" t="inlineStr">
        <is>
          <t>Singtel · $118 · $178 [for 500Mbps and 1Gbps dynamic broadband, 24-month contract]</t>
        </is>
      </c>
      <c r="T17" s="6" t="inlineStr">
        <is>
          <t>https://dollarsandsense.sg/price-guide-to-business-broadband-plans-for-offices-in-singapore/</t>
        </is>
      </c>
      <c r="U17" s="6" t="inlineStr">
        <is>
          <t>2025</t>
        </is>
      </c>
      <c r="V17" s="6" t="inlineStr">
        <is>
          <t>dbs</t>
        </is>
      </c>
      <c r="W17" s="32" t="n">
        <v>-2199.09195</v>
      </c>
      <c r="X17" s="6" t="n">
        <v>36</v>
      </c>
      <c r="Y17" s="3" t="inlineStr">
        <is>
          <t>dbs -2,199</t>
        </is>
      </c>
      <c r="Z17" s="3" t="inlineStr">
        <is>
          <t>250 Mbps at 91 &gt; 500 Mbps at 85</t>
        </is>
      </c>
      <c r="AA17" s="6" t="inlineStr">
        <is>
          <t>WITHIN_BAND - compared without converting currency</t>
        </is>
      </c>
    </row>
    <row r="18">
      <c r="A18" s="6" t="inlineStr">
        <is>
          <t>SG-BROADBAND_PON-1000-researched</t>
        </is>
      </c>
      <c r="B18" s="6" t="inlineStr">
        <is>
          <t>SG</t>
        </is>
      </c>
      <c r="C18" s="6" t="inlineStr">
        <is>
          <t>BROADBAND_PON</t>
        </is>
      </c>
      <c r="D18" s="6" t="n">
        <v>1000</v>
      </c>
      <c r="E18" s="7" t="inlineStr">
        <is>
          <t>Approve</t>
        </is>
      </c>
      <c r="F18" s="3" t="inlineStr">
        <is>
          <t>Business dynamic fibre on a 24-month contract: Singtel S$178, StarHub S$174.</t>
        </is>
      </c>
      <c r="G18" s="8" t="inlineStr">
        <is>
          <t>Approve</t>
        </is>
      </c>
      <c r="H18" s="9">
        <f>J18*0.75</f>
        <v>133.5</v>
      </c>
      <c r="I18" s="9">
        <f>J18*1.25</f>
        <v>222.5</v>
      </c>
      <c r="J18" s="10" t="n">
        <v>178</v>
      </c>
      <c r="K18" s="6" t="inlineStr">
        <is>
          <t>SGD</t>
        </is>
      </c>
      <c r="L18" s="10" t="n">
        <v>139.06</v>
      </c>
      <c r="M18" s="10" t="n">
        <v>149</v>
      </c>
      <c r="N18" s="31">
        <f>IF(OR(L18="",M18=""),"",L18/M18)</f>
        <v>0.933288590604027</v>
      </c>
      <c r="O18" s="6" t="inlineStr">
        <is>
          <t>SEED</t>
        </is>
      </c>
      <c r="P18" s="6" t="inlineStr">
        <is>
          <t>business retail</t>
        </is>
      </c>
      <c r="Q18" s="3" t="inlineStr">
        <is>
          <t>BROADBAND_PON 1000 Mbps MRC business dynamic — Singapore (Singtel)</t>
        </is>
      </c>
      <c r="R18" s="6" t="inlineStr">
        <is>
          <t>DollarsAndSense.sg; AGGREGATOR/SNIPPET_ONLY</t>
        </is>
      </c>
      <c r="S18" s="3" t="inlineStr">
        <is>
          <t>Singtel · $118 · $178 [for 500Mbps and 1Gbps dynamic broadband, 24-month contract]</t>
        </is>
      </c>
      <c r="T18" s="6" t="inlineStr">
        <is>
          <t>https://dollarsandsense.sg/price-guide-to-business-broadband-plans-for-offices-in-singapore/</t>
        </is>
      </c>
      <c r="U18" s="6" t="inlineStr">
        <is>
          <t>2025</t>
        </is>
      </c>
      <c r="V18" s="6" t="inlineStr">
        <is>
          <t>dbs</t>
        </is>
      </c>
      <c r="W18" s="32" t="n">
        <v>-320.98946125</v>
      </c>
      <c r="X18" s="6" t="n">
        <v>3</v>
      </c>
      <c r="Y18" s="3" t="inlineStr">
        <is>
          <t>novartis -321</t>
        </is>
      </c>
      <c r="Z18" s="3" t="inlineStr">
        <is>
          <t>no</t>
        </is>
      </c>
      <c r="AA18" s="6" t="inlineStr">
        <is>
          <t>WITHIN_BAND - compared without converting currency</t>
        </is>
      </c>
    </row>
    <row r="19">
      <c r="A19" s="6" t="inlineStr">
        <is>
          <t>SG-DIA-10000-researched</t>
        </is>
      </c>
      <c r="B19" s="6" t="inlineStr">
        <is>
          <t>SG</t>
        </is>
      </c>
      <c r="C19" s="6" t="inlineStr">
        <is>
          <t>DIA</t>
        </is>
      </c>
      <c r="D19" s="6" t="n">
        <v>10000</v>
      </c>
      <c r="E19" s="7" t="inlineStr">
        <is>
          <t>Approve</t>
        </is>
      </c>
      <c r="F19" s="3" t="inlineStr">
        <is>
          <t>TeleGeography's survey-based 10 GigE DIA benchmark for Singapore. No circuit in the set uses it.</t>
        </is>
      </c>
      <c r="G19" s="8" t="inlineStr">
        <is>
          <t>Approve</t>
        </is>
      </c>
      <c r="H19" s="9">
        <f>J19*0.75</f>
        <v>3375</v>
      </c>
      <c r="I19" s="9">
        <f>J19*1.25</f>
        <v>5625</v>
      </c>
      <c r="J19" s="10" t="n">
        <v>4500</v>
      </c>
      <c r="K19" s="6" t="inlineStr">
        <is>
          <t>USD</t>
        </is>
      </c>
      <c r="L19" s="10" t="n">
        <v>4500</v>
      </c>
      <c r="M19" s="10" t="n"/>
      <c r="N19" s="31" t="str">
        <f>IF(OR(L19="",M19=""),"",L19/M19)</f>
        <v/>
      </c>
      <c r="O19" s="6" t="inlineStr">
        <is>
          <t>none - new tier</t>
        </is>
      </c>
      <c r="P19" s="6" t="inlineStr">
        <is>
          <t>survey benchmark</t>
        </is>
      </c>
      <c r="Q19" s="3" t="inlineStr">
        <is>
          <t>DIA 10000 Mbps (10 GigE) MRC — SG (TeleGeography 2026)</t>
        </is>
      </c>
      <c r="R19" s="6" t="inlineStr">
        <is>
          <t>TeleGeography; TRADE_PRESS/SNIPPET_ONLY</t>
        </is>
      </c>
      <c r="S19" s="3" t="inlineStr">
        <is>
          <t>$4,500 for 10 GigE</t>
        </is>
      </c>
      <c r="T19" s="6" t="inlineStr">
        <is>
          <t>https://resources.telegeography.com/dia-pricing-in-asia-and-oceania</t>
        </is>
      </c>
      <c r="U19" s="6" t="inlineStr">
        <is>
          <t>2026</t>
        </is>
      </c>
      <c r="V19" s="6" t="inlineStr">
        <is>
          <t>maersk</t>
        </is>
      </c>
      <c r="W19" s="32" t="n">
        <v>0</v>
      </c>
      <c r="X19" s="6" t="n">
        <v>0</v>
      </c>
      <c r="Y19" s="3" t="inlineStr"/>
      <c r="Z19" s="3" t="inlineStr">
        <is>
          <t>no</t>
        </is>
      </c>
      <c r="AA19" s="6" t="inlineStr">
        <is>
          <t>NO_BENCHMARK_AT_BANDWIDTH</t>
        </is>
      </c>
    </row>
    <row r="20">
      <c r="A20" s="6" t="inlineStr">
        <is>
          <t>US-BROADBAND_HFC-100-researched</t>
        </is>
      </c>
      <c r="B20" s="6" t="inlineStr">
        <is>
          <t>US</t>
        </is>
      </c>
      <c r="C20" s="6" t="inlineStr">
        <is>
          <t>BROADBAND_HFC</t>
        </is>
      </c>
      <c r="D20" s="6" t="n">
        <v>100</v>
      </c>
      <c r="E20" s="7" t="inlineStr">
        <is>
          <t>Approve</t>
        </is>
      </c>
      <c r="F20" s="3" t="inlineStr">
        <is>
          <t>Lightyear transaction dataset, median of US business broadband at 100 Mbps; the band is its 10th-90th percentile.</t>
        </is>
      </c>
      <c r="G20" s="8" t="inlineStr">
        <is>
          <t>Approve</t>
        </is>
      </c>
      <c r="H20" s="9" t="n">
        <v>60</v>
      </c>
      <c r="I20" s="9" t="n">
        <v>175</v>
      </c>
      <c r="J20" s="10" t="n">
        <v>100</v>
      </c>
      <c r="K20" s="6" t="inlineStr">
        <is>
          <t>USD</t>
        </is>
      </c>
      <c r="L20" s="10" t="n">
        <v>100</v>
      </c>
      <c r="M20" s="10" t="n">
        <v>120</v>
      </c>
      <c r="N20" s="31">
        <f>IF(OR(L20="",M20=""),"",L20/M20)</f>
        <v>0.833333333333333</v>
      </c>
      <c r="O20" s="6" t="inlineStr">
        <is>
          <t>SEED</t>
        </is>
      </c>
      <c r="P20" s="6" t="inlineStr">
        <is>
          <t>market median</t>
        </is>
      </c>
      <c r="Q20" s="3" t="inlineStr">
        <is>
          <t>BROADBAND_HFC 100 Mbps MRC median</t>
        </is>
      </c>
      <c r="R20" s="6" t="inlineStr">
        <is>
          <t>Lightyear; AGGREGATOR/FULL_PAGE</t>
        </is>
      </c>
      <c r="S20" s="3" t="inlineStr">
        <is>
          <t>100 Mbps | $60 | $100 | $175</t>
        </is>
      </c>
      <c r="T20" s="6" t="inlineStr">
        <is>
          <t>https://lightyear.ai/resources/dedicated-internet-access-dia-ultimate-pricing-guide</t>
        </is>
      </c>
      <c r="U20" s="6" t="inlineStr">
        <is>
          <t>2025-2026</t>
        </is>
      </c>
      <c r="V20" s="6" t="inlineStr">
        <is>
          <t>ahold-delhaize</t>
        </is>
      </c>
      <c r="W20" s="32" t="n">
        <v>-6522.79808</v>
      </c>
      <c r="X20" s="6" t="n">
        <v>30</v>
      </c>
      <c r="Y20" s="3" t="inlineStr">
        <is>
          <t>maersk -3,696; ahold-delhaize -2,174; fresenius -435</t>
        </is>
      </c>
      <c r="Z20" s="3" t="inlineStr">
        <is>
          <t>no</t>
        </is>
      </c>
      <c r="AA20" s="6" t="inlineStr">
        <is>
          <t>WITHIN_BAND</t>
        </is>
      </c>
    </row>
    <row r="21">
      <c r="A21" s="6" t="inlineStr">
        <is>
          <t>US-BROADBAND_HFC-500-researched</t>
        </is>
      </c>
      <c r="B21" s="6" t="inlineStr">
        <is>
          <t>US</t>
        </is>
      </c>
      <c r="C21" s="6" t="inlineStr">
        <is>
          <t>BROADBAND_HFC</t>
        </is>
      </c>
      <c r="D21" s="6" t="n">
        <v>500</v>
      </c>
      <c r="E21" s="7" t="inlineStr">
        <is>
          <t>Approve</t>
        </is>
      </c>
      <c r="F21" s="3" t="inlineStr">
        <is>
          <t>Lightyear transaction dataset, median at 500 Mbps; the band is its 10th-90th percentile.</t>
        </is>
      </c>
      <c r="G21" s="8" t="inlineStr">
        <is>
          <t>Approve</t>
        </is>
      </c>
      <c r="H21" s="9" t="n">
        <v>65</v>
      </c>
      <c r="I21" s="9" t="n">
        <v>212</v>
      </c>
      <c r="J21" s="10" t="n">
        <v>110</v>
      </c>
      <c r="K21" s="6" t="inlineStr">
        <is>
          <t>USD</t>
        </is>
      </c>
      <c r="L21" s="10" t="n">
        <v>110</v>
      </c>
      <c r="M21" s="10" t="n">
        <v>208</v>
      </c>
      <c r="N21" s="31">
        <f>IF(OR(L21="",M21=""),"",L21/M21)</f>
        <v>0.528846153846154</v>
      </c>
      <c r="O21" s="6" t="inlineStr">
        <is>
          <t>SEED</t>
        </is>
      </c>
      <c r="P21" s="6" t="inlineStr">
        <is>
          <t>market median</t>
        </is>
      </c>
      <c r="Q21" s="3" t="inlineStr">
        <is>
          <t>BROADBAND_HFC/PON 500 Mbps MRC median</t>
        </is>
      </c>
      <c r="R21" s="6" t="inlineStr">
        <is>
          <t>Lightyear; AGGREGATOR/FULL_PAGE</t>
        </is>
      </c>
      <c r="S21" s="3" t="inlineStr">
        <is>
          <t>500 Mbps | $65 | $110 | $212</t>
        </is>
      </c>
      <c r="T21" s="6" t="inlineStr">
        <is>
          <t>https://lightyear.ai/resources/dedicated-internet-access-dia-ultimate-pricing-guide</t>
        </is>
      </c>
      <c r="U21" s="6" t="inlineStr">
        <is>
          <t>2025-2026</t>
        </is>
      </c>
      <c r="V21" s="6" t="inlineStr">
        <is>
          <t>ahold-delhaize</t>
        </is>
      </c>
      <c r="W21" s="32" t="n">
        <v>-17454373.700976</v>
      </c>
      <c r="X21" s="6" t="n">
        <v>17371</v>
      </c>
      <c r="Y21" s="3" t="inlineStr">
        <is>
          <t>mcdonalds -14,602,237; ahold-delhaize -1,096,373; ups -865,097</t>
        </is>
      </c>
      <c r="Z21" s="3" t="inlineStr">
        <is>
          <t>250 Mbps at 162 &gt; 500 Mbps at 110</t>
        </is>
      </c>
      <c r="AA21" s="6" t="inlineStr">
        <is>
          <t>OUTSIDE_BAND</t>
        </is>
      </c>
    </row>
    <row r="22">
      <c r="A22" s="6" t="inlineStr">
        <is>
          <t>US-BROADBAND_HFC-1000-researched</t>
        </is>
      </c>
      <c r="B22" s="6" t="inlineStr">
        <is>
          <t>US</t>
        </is>
      </c>
      <c r="C22" s="6" t="inlineStr">
        <is>
          <t>BROADBAND_HFC</t>
        </is>
      </c>
      <c r="D22" s="6" t="n">
        <v>1000</v>
      </c>
      <c r="E22" s="7" t="inlineStr">
        <is>
          <t>Approve</t>
        </is>
      </c>
      <c r="F22" s="3" t="inlineStr">
        <is>
          <t>Lightyear transaction dataset, median at 1 Gbps; the band is its 10th-90th percentile.</t>
        </is>
      </c>
      <c r="G22" s="8" t="inlineStr">
        <is>
          <t>Approve</t>
        </is>
      </c>
      <c r="H22" s="9" t="n">
        <v>124</v>
      </c>
      <c r="I22" s="9" t="n">
        <v>330</v>
      </c>
      <c r="J22" s="10" t="n">
        <v>184</v>
      </c>
      <c r="K22" s="6" t="inlineStr">
        <is>
          <t>USD</t>
        </is>
      </c>
      <c r="L22" s="10" t="n">
        <v>184</v>
      </c>
      <c r="M22" s="10" t="n">
        <v>264</v>
      </c>
      <c r="N22" s="31">
        <f>IF(OR(L22="",M22=""),"",L22/M22)</f>
        <v>0.696969696969697</v>
      </c>
      <c r="O22" s="6" t="inlineStr">
        <is>
          <t>SEED</t>
        </is>
      </c>
      <c r="P22" s="6" t="inlineStr">
        <is>
          <t>market median</t>
        </is>
      </c>
      <c r="Q22" s="3" t="inlineStr">
        <is>
          <t>BROADBAND_HFC/PON 1 Gbps MRC median</t>
        </is>
      </c>
      <c r="R22" s="6" t="inlineStr">
        <is>
          <t>Lightyear; AGGREGATOR/FULL_PAGE</t>
        </is>
      </c>
      <c r="S22" s="3" t="inlineStr">
        <is>
          <t>1 Gbps | $124 | $184 | $330</t>
        </is>
      </c>
      <c r="T22" s="6" t="inlineStr">
        <is>
          <t>https://lightyear.ai/resources/dedicated-internet-access-dia-ultimate-pricing-guide</t>
        </is>
      </c>
      <c r="U22" s="6" t="inlineStr">
        <is>
          <t>2025-2026</t>
        </is>
      </c>
      <c r="V22" s="6" t="inlineStr">
        <is>
          <t>ahold-delhaize</t>
        </is>
      </c>
      <c r="W22" s="32" t="n">
        <v>-4006040.882688</v>
      </c>
      <c r="X22" s="6" t="n">
        <v>15354</v>
      </c>
      <c r="Y22" s="3" t="inlineStr">
        <is>
          <t>mcdonalds -3,576,058; ups -211,860; victorias-secret -208,729</t>
        </is>
      </c>
      <c r="Z22" s="3" t="inlineStr">
        <is>
          <t>500 Mbps at 208 &gt; 1000 Mbps at 184</t>
        </is>
      </c>
      <c r="AA22" s="6" t="inlineStr">
        <is>
          <t>OUTSIDE_BAND</t>
        </is>
      </c>
    </row>
    <row r="23">
      <c r="A23" s="6" t="inlineStr">
        <is>
          <t>US-BROADBAND_PON-100-researched</t>
        </is>
      </c>
      <c r="B23" s="6" t="inlineStr">
        <is>
          <t>US</t>
        </is>
      </c>
      <c r="C23" s="6" t="inlineStr">
        <is>
          <t>BROADBAND_PON</t>
        </is>
      </c>
      <c r="D23" s="6" t="n">
        <v>100</v>
      </c>
      <c r="E23" s="7" t="inlineStr">
        <is>
          <t>Approve</t>
        </is>
      </c>
      <c r="F23" s="3" t="inlineStr">
        <is>
          <t>Lightyear transaction dataset, median at 100 Mbps (HFC and PON together); the band is its 10th-90th percentile.</t>
        </is>
      </c>
      <c r="G23" s="8" t="inlineStr">
        <is>
          <t>Approve</t>
        </is>
      </c>
      <c r="H23" s="9" t="n">
        <v>60</v>
      </c>
      <c r="I23" s="9" t="n">
        <v>175</v>
      </c>
      <c r="J23" s="10" t="n">
        <v>100</v>
      </c>
      <c r="K23" s="6" t="inlineStr">
        <is>
          <t>USD</t>
        </is>
      </c>
      <c r="L23" s="10" t="n">
        <v>100</v>
      </c>
      <c r="M23" s="10" t="n">
        <v>85</v>
      </c>
      <c r="N23" s="31">
        <f>IF(OR(L23="",M23=""),"",L23/M23)</f>
        <v>1.17647058823529</v>
      </c>
      <c r="O23" s="6" t="inlineStr">
        <is>
          <t>SEED</t>
        </is>
      </c>
      <c r="P23" s="6" t="inlineStr">
        <is>
          <t>market median</t>
        </is>
      </c>
      <c r="Q23" s="3" t="inlineStr">
        <is>
          <t>BROADBAND_PON/HFC 100 Mbps MRC – US business</t>
        </is>
      </c>
      <c r="R23" s="6" t="inlineStr">
        <is>
          <t>Lightyear; AGGREGATOR/SNIPPET_ONLY</t>
        </is>
      </c>
      <c r="S23" s="3" t="inlineStr">
        <is>
          <t>100 Mbps | $60 | $100 | $175 — Last 12 Months Broadband Pricing ($MRC) by Bandwidth Tier</t>
        </is>
      </c>
      <c r="T23" s="6" t="inlineStr">
        <is>
          <t>https://lightyear.ai/resources/dedicated-internet-access-dia-ultimate-pricing-guide</t>
        </is>
      </c>
      <c r="U23" s="6" t="inlineStr">
        <is>
          <t>2025-2026</t>
        </is>
      </c>
      <c r="V23" s="6" t="inlineStr">
        <is>
          <t>volkswagen</t>
        </is>
      </c>
      <c r="W23" s="32" t="n">
        <v>290896.36184</v>
      </c>
      <c r="X23" s="6" t="n">
        <v>1770</v>
      </c>
      <c r="Y23" s="3" t="inlineStr">
        <is>
          <t>toyota +1,756; danone +2,107; bayer +3,512</t>
        </is>
      </c>
      <c r="Z23" s="3" t="inlineStr">
        <is>
          <t>no</t>
        </is>
      </c>
      <c r="AA23" s="6" t="inlineStr">
        <is>
          <t>WITHIN_BAND</t>
        </is>
      </c>
    </row>
    <row r="24">
      <c r="A24" s="6" t="inlineStr">
        <is>
          <t>US-BROADBAND_PON-500-researched</t>
        </is>
      </c>
      <c r="B24" s="6" t="inlineStr">
        <is>
          <t>US</t>
        </is>
      </c>
      <c r="C24" s="6" t="inlineStr">
        <is>
          <t>BROADBAND_PON</t>
        </is>
      </c>
      <c r="D24" s="6" t="n">
        <v>500</v>
      </c>
      <c r="E24" s="7" t="inlineStr">
        <is>
          <t>Approve</t>
        </is>
      </c>
      <c r="F24" s="3" t="inlineStr">
        <is>
          <t>Verizon Fios Business 500 at $99, consistent with the Lightyear 500 Mbps median of $110.</t>
        </is>
      </c>
      <c r="G24" s="8" t="inlineStr">
        <is>
          <t>Approve</t>
        </is>
      </c>
      <c r="H24" s="9">
        <f>J24*0.75</f>
        <v>74.25</v>
      </c>
      <c r="I24" s="9">
        <f>J24*1.25</f>
        <v>123.75</v>
      </c>
      <c r="J24" s="10" t="n">
        <v>99</v>
      </c>
      <c r="K24" s="6" t="inlineStr">
        <is>
          <t>USD</t>
        </is>
      </c>
      <c r="L24" s="10" t="n">
        <v>99</v>
      </c>
      <c r="M24" s="10" t="n">
        <v>145</v>
      </c>
      <c r="N24" s="31">
        <f>IF(OR(L24="",M24=""),"",L24/M24)</f>
        <v>0.682758620689655</v>
      </c>
      <c r="O24" s="6" t="inlineStr">
        <is>
          <t>SEED</t>
        </is>
      </c>
      <c r="P24" s="6" t="inlineStr">
        <is>
          <t>business retail</t>
        </is>
      </c>
      <c r="Q24" s="3" t="inlineStr">
        <is>
          <t>BROADBAND_PON 500 Mbps MRC – US, Verizon Fios Business</t>
        </is>
      </c>
      <c r="R24" s="6" t="inlineStr">
        <is>
          <t>highspeedinternet.com (Verizon published tariff); AGGREGATOR/SNIPPET_ONLY</t>
        </is>
      </c>
      <c r="S24" s="3" t="inlineStr">
        <is>
          <t>Verizon Business Fios 500 | $99/mo. | Up to 500Mbps | Fiber</t>
        </is>
      </c>
      <c r="T24" s="6" t="inlineStr">
        <is>
          <t>https://www.highspeedinternet.com/resources/business-internet-guide</t>
        </is>
      </c>
      <c r="U24" s="6" t="inlineStr">
        <is>
          <t>2026</t>
        </is>
      </c>
      <c r="V24" s="6" t="inlineStr">
        <is>
          <t>bayer</t>
        </is>
      </c>
      <c r="W24" s="32" t="n">
        <v>-77962.3674245</v>
      </c>
      <c r="X24" s="6" t="n">
        <v>243</v>
      </c>
      <c r="Y24" s="3" t="inlineStr">
        <is>
          <t>simmons-bank -20,511; basf -13,372; siemens -11,391</t>
        </is>
      </c>
      <c r="Z24" s="3" t="inlineStr">
        <is>
          <t>250 Mbps at 114 &gt; 500 Mbps at 99</t>
        </is>
      </c>
      <c r="AA24" s="6" t="inlineStr">
        <is>
          <t>OUTSIDE_BAND</t>
        </is>
      </c>
    </row>
    <row r="25">
      <c r="A25" s="6" t="inlineStr">
        <is>
          <t>US-DIA-100-researched</t>
        </is>
      </c>
      <c r="B25" s="6" t="inlineStr">
        <is>
          <t>US</t>
        </is>
      </c>
      <c r="C25" s="6" t="inlineStr">
        <is>
          <t>DIA</t>
        </is>
      </c>
      <c r="D25" s="6" t="n">
        <v>100</v>
      </c>
      <c r="E25" s="7" t="inlineStr">
        <is>
          <t>Approve</t>
        </is>
      </c>
      <c r="F25" s="3" t="inlineStr">
        <is>
          <t>Lightyear 36-month DIA median at 100 Mbps; the band is its 10th-90th percentile.</t>
        </is>
      </c>
      <c r="G25" s="8" t="inlineStr">
        <is>
          <t>Approve</t>
        </is>
      </c>
      <c r="H25" s="9" t="n">
        <v>333</v>
      </c>
      <c r="I25" s="9" t="n">
        <v>641</v>
      </c>
      <c r="J25" s="10" t="n">
        <v>492</v>
      </c>
      <c r="K25" s="6" t="inlineStr">
        <is>
          <t>USD</t>
        </is>
      </c>
      <c r="L25" s="10" t="n">
        <v>492</v>
      </c>
      <c r="M25" s="10" t="n">
        <v>480</v>
      </c>
      <c r="N25" s="31">
        <f>IF(OR(L25="",M25=""),"",L25/M25)</f>
        <v>1.025</v>
      </c>
      <c r="O25" s="6" t="inlineStr">
        <is>
          <t>SEED</t>
        </is>
      </c>
      <c r="P25" s="6" t="inlineStr">
        <is>
          <t>market median</t>
        </is>
      </c>
      <c r="Q25" s="3" t="inlineStr">
        <is>
          <t>DIA 100 Mbps MRC – US (Lightyear dataset, 36-month, median)</t>
        </is>
      </c>
      <c r="R25" s="6" t="inlineStr">
        <is>
          <t>Lightyear.ai; AGGREGATOR/SNIPPET_ONLY</t>
        </is>
      </c>
      <c r="S25" s="3" t="inlineStr">
        <is>
          <t>Median DIA MRC 36-month: 100 Mbps $492, 1 Gbps $901, 10 Gbps $1,987 (US, mixed geo/ISP)</t>
        </is>
      </c>
      <c r="T25" s="6" t="inlineStr">
        <is>
          <t>https://lightyear.ai/resources/dedicated-internet-access-dia-ultimate-pricing-guide</t>
        </is>
      </c>
      <c r="U25" s="6" t="inlineStr">
        <is>
          <t>2025-2026</t>
        </is>
      </c>
      <c r="V25" s="6" t="inlineStr">
        <is>
          <t>abb</t>
        </is>
      </c>
      <c r="W25" s="32" t="n">
        <v>418650.656</v>
      </c>
      <c r="X25" s="6" t="n">
        <v>2670</v>
      </c>
      <c r="Y25" s="3" t="inlineStr">
        <is>
          <t>victorias-secret +314; ahold-delhaize +3,920; maersk +6,272</t>
        </is>
      </c>
      <c r="Z25" s="3" t="inlineStr">
        <is>
          <t>no</t>
        </is>
      </c>
      <c r="AA25" s="6" t="inlineStr">
        <is>
          <t>WITHIN_BAND</t>
        </is>
      </c>
    </row>
    <row r="26">
      <c r="A26" s="6" t="inlineStr">
        <is>
          <t>US-DIA-1000-researched</t>
        </is>
      </c>
      <c r="B26" s="6" t="inlineStr">
        <is>
          <t>US</t>
        </is>
      </c>
      <c r="C26" s="6" t="inlineStr">
        <is>
          <t>DIA</t>
        </is>
      </c>
      <c r="D26" s="6" t="n">
        <v>1000</v>
      </c>
      <c r="E26" s="7" t="inlineStr">
        <is>
          <t>Approve</t>
        </is>
      </c>
      <c r="F26" s="3" t="inlineStr">
        <is>
          <t>Lightyear 36-month DIA median at 1 Gbps; the band is its 10th-90th percentile.</t>
        </is>
      </c>
      <c r="G26" s="8" t="inlineStr">
        <is>
          <t>Approve</t>
        </is>
      </c>
      <c r="H26" s="9" t="n">
        <v>600</v>
      </c>
      <c r="I26" s="9" t="n">
        <v>1312</v>
      </c>
      <c r="J26" s="10" t="n">
        <v>901</v>
      </c>
      <c r="K26" s="6" t="inlineStr">
        <is>
          <t>USD</t>
        </is>
      </c>
      <c r="L26" s="10" t="n">
        <v>901</v>
      </c>
      <c r="M26" s="10" t="n">
        <v>1350</v>
      </c>
      <c r="N26" s="31">
        <f>IF(OR(L26="",M26=""),"",L26/M26)</f>
        <v>0.667407407407407</v>
      </c>
      <c r="O26" s="6" t="inlineStr">
        <is>
          <t>SEED</t>
        </is>
      </c>
      <c r="P26" s="6" t="inlineStr">
        <is>
          <t>market median</t>
        </is>
      </c>
      <c r="Q26" s="3" t="inlineStr">
        <is>
          <t>DIA 1000 Mbps MRC – US (Lightyear dataset, 36-month, median)</t>
        </is>
      </c>
      <c r="R26" s="6" t="inlineStr">
        <is>
          <t>Lightyear.ai; AGGREGATOR/SNIPPET_ONLY</t>
        </is>
      </c>
      <c r="S26" s="3" t="inlineStr">
        <is>
          <t>Median DIA 1 Gbps $901/month (US, 36-month, 10th pct $600, 90th pct $1,312)</t>
        </is>
      </c>
      <c r="T26" s="6" t="inlineStr">
        <is>
          <t>https://lightyear.ai/resources/dedicated-internet-access-dia-ultimate-pricing-guide</t>
        </is>
      </c>
      <c r="U26" s="6" t="inlineStr">
        <is>
          <t>2025-2026</t>
        </is>
      </c>
      <c r="V26" s="6" t="inlineStr">
        <is>
          <t>abb</t>
        </is>
      </c>
      <c r="W26" s="32" t="n">
        <v>-1331147.0734</v>
      </c>
      <c r="X26" s="6" t="n">
        <v>399</v>
      </c>
      <c r="Y26" s="3" t="inlineStr">
        <is>
          <t>simmons-bank -537,948; siemens -314,464; nestle -84,483</t>
        </is>
      </c>
      <c r="Z26" s="3" t="inlineStr">
        <is>
          <t>500 Mbps at 1242 &gt; 1000 Mbps at 901</t>
        </is>
      </c>
      <c r="AA26" s="6" t="inlineStr">
        <is>
          <t>OUTSIDE_BAND</t>
        </is>
      </c>
    </row>
    <row r="27">
      <c r="A27" s="6" t="inlineStr">
        <is>
          <t>US-DIA-10000-researched</t>
        </is>
      </c>
      <c r="B27" s="6" t="inlineStr">
        <is>
          <t>US</t>
        </is>
      </c>
      <c r="C27" s="6" t="inlineStr">
        <is>
          <t>DIA</t>
        </is>
      </c>
      <c r="D27" s="6" t="n">
        <v>10000</v>
      </c>
      <c r="E27" s="7" t="inlineStr">
        <is>
          <t>Approve</t>
        </is>
      </c>
      <c r="F27" s="3" t="inlineStr">
        <is>
          <t>Lightyear 36-month DIA median at 10 Gbps; the band is its 10th-90th percentile. Approved on 13 Oct, and lost to a re-promotion.</t>
        </is>
      </c>
      <c r="G27" s="8" t="inlineStr">
        <is>
          <t>Approve</t>
        </is>
      </c>
      <c r="H27" s="9" t="n">
        <v>1175</v>
      </c>
      <c r="I27" s="9" t="n">
        <v>2853</v>
      </c>
      <c r="J27" s="10" t="n">
        <v>1987</v>
      </c>
      <c r="K27" s="6" t="inlineStr">
        <is>
          <t>USD</t>
        </is>
      </c>
      <c r="L27" s="10" t="n">
        <v>1987</v>
      </c>
      <c r="M27" s="10" t="n"/>
      <c r="N27" s="31" t="str">
        <f>IF(OR(L27="",M27=""),"",L27/M27)</f>
        <v/>
      </c>
      <c r="O27" s="6" t="inlineStr">
        <is>
          <t>none - new tier</t>
        </is>
      </c>
      <c r="P27" s="6" t="inlineStr">
        <is>
          <t>market median</t>
        </is>
      </c>
      <c r="Q27" s="3" t="inlineStr">
        <is>
          <t>DIA 10000 Mbps MRC – US (Lightyear dataset, 36-month, median)</t>
        </is>
      </c>
      <c r="R27" s="6" t="inlineStr">
        <is>
          <t>Lightyear.ai; AGGREGATOR/SNIPPET_ONLY</t>
        </is>
      </c>
      <c r="S27" s="3" t="inlineStr">
        <is>
          <t>Median DIA 10 Gbps $1,987/month (US, 36-month, 10th pct $1,175, 90th pct $2,853)</t>
        </is>
      </c>
      <c r="T27" s="6" t="inlineStr">
        <is>
          <t>https://lightyear.ai/resources/dedicated-internet-access-dia-ultimate-pricing-guide</t>
        </is>
      </c>
      <c r="U27" s="6" t="inlineStr">
        <is>
          <t>2025-2026</t>
        </is>
      </c>
      <c r="V27" s="6" t="inlineStr">
        <is>
          <t>abb</t>
        </is>
      </c>
      <c r="W27" s="32" t="n">
        <v>0</v>
      </c>
      <c r="X27" s="6" t="n">
        <v>0</v>
      </c>
      <c r="Y27" s="3" t="inlineStr"/>
      <c r="Z27" s="3" t="inlineStr">
        <is>
          <t>no</t>
        </is>
      </c>
      <c r="AA27" s="6" t="inlineStr">
        <is>
          <t>NO_BENCHMARK_AT_BANDWIDTH</t>
        </is>
      </c>
    </row>
    <row r="28">
      <c r="A28" s="6" t="inlineStr">
        <is>
          <t>US-ETHERNET-10000-researched</t>
        </is>
      </c>
      <c r="B28" s="6" t="inlineStr">
        <is>
          <t>US</t>
        </is>
      </c>
      <c r="C28" s="6" t="inlineStr">
        <is>
          <t>ETHERNET</t>
        </is>
      </c>
      <c r="D28" s="6" t="n">
        <v>10000</v>
      </c>
      <c r="E28" s="7" t="inlineStr">
        <is>
          <t>Approve</t>
        </is>
      </c>
      <c r="F28" s="3" t="inlineStr">
        <is>
          <t>Lightyear Ethernet private-line median at 10 Gbps; the band is its 10th-90th percentile.</t>
        </is>
      </c>
      <c r="G28" s="8" t="inlineStr">
        <is>
          <t>Approve</t>
        </is>
      </c>
      <c r="H28" s="9" t="n">
        <v>1244</v>
      </c>
      <c r="I28" s="9" t="n">
        <v>2157</v>
      </c>
      <c r="J28" s="10" t="n">
        <v>1807</v>
      </c>
      <c r="K28" s="6" t="inlineStr">
        <is>
          <t>USD</t>
        </is>
      </c>
      <c r="L28" s="10" t="n">
        <v>1807</v>
      </c>
      <c r="M28" s="10" t="n">
        <v>3450</v>
      </c>
      <c r="N28" s="31">
        <f>IF(OR(L28="",M28=""),"",L28/M28)</f>
        <v>0.523768115942029</v>
      </c>
      <c r="O28" s="6" t="inlineStr">
        <is>
          <t>SEED</t>
        </is>
      </c>
      <c r="P28" s="6" t="inlineStr">
        <is>
          <t>market median</t>
        </is>
      </c>
      <c r="Q28" s="3" t="inlineStr">
        <is>
          <t>ETHERNET 10000 Mbps point-to-point MRC – US (Lightyear dataset)</t>
        </is>
      </c>
      <c r="R28" s="6" t="inlineStr">
        <is>
          <t>lightyear.ai (Ethernet Private Line guide); TRADE_PRESS/SNIPPET_ONLY</t>
        </is>
      </c>
      <c r="S28" s="3" t="inlineStr">
        <is>
          <t>10 Gbps Point-to-Point (Ethernet): 10th pct $1,244, Median $1,807, 90th pct $2,157</t>
        </is>
      </c>
      <c r="T28" s="6" t="inlineStr">
        <is>
          <t>https://lightyear.ai/blogs/ethernet-private-line-cost</t>
        </is>
      </c>
      <c r="U28" s="6" t="inlineStr">
        <is>
          <t>2025-2026</t>
        </is>
      </c>
      <c r="V28" s="6" t="inlineStr">
        <is>
          <t>simmons-bank</t>
        </is>
      </c>
      <c r="W28" s="32" t="n">
        <v>-32322.017413</v>
      </c>
      <c r="X28" s="6" t="n">
        <v>2</v>
      </c>
      <c r="Y28" s="3" t="inlineStr">
        <is>
          <t>shell -32,322</t>
        </is>
      </c>
      <c r="Z28" s="3" t="inlineStr">
        <is>
          <t>9000 Mbps at 3267 &gt; 10000 Mbps at 1807</t>
        </is>
      </c>
      <c r="AA28" s="6" t="inlineStr">
        <is>
          <t>OUTSIDE_BAND</t>
        </is>
      </c>
    </row>
    <row r="29">
      <c r="A29" s="6" t="inlineStr">
        <is>
          <t>US-MPLS-1000-researched</t>
        </is>
      </c>
      <c r="B29" s="6" t="inlineStr">
        <is>
          <t>US</t>
        </is>
      </c>
      <c r="C29" s="6" t="inlineStr">
        <is>
          <t>MPLS</t>
        </is>
      </c>
      <c r="D29" s="6" t="n">
        <v>1000</v>
      </c>
      <c r="E29" s="7" t="inlineStr">
        <is>
          <t>Approve</t>
        </is>
      </c>
      <c r="F29" s="3" t="inlineStr">
        <is>
          <t>Lightyear median for an all-inclusive managed MPLS service at 1 Gbps. Approved on 13 Oct, and lost to a re-promotion.</t>
        </is>
      </c>
      <c r="G29" s="8" t="inlineStr">
        <is>
          <t>Approve</t>
        </is>
      </c>
      <c r="H29" s="9">
        <f>J29*0.75</f>
        <v>1079.25</v>
      </c>
      <c r="I29" s="9">
        <f>J29*1.25</f>
        <v>1798.75</v>
      </c>
      <c r="J29" s="10" t="n">
        <v>1439</v>
      </c>
      <c r="K29" s="6" t="inlineStr">
        <is>
          <t>USD</t>
        </is>
      </c>
      <c r="L29" s="10" t="n">
        <v>1439</v>
      </c>
      <c r="M29" s="10" t="n"/>
      <c r="N29" s="31" t="str">
        <f>IF(OR(L29="",M29=""),"",L29/M29)</f>
        <v/>
      </c>
      <c r="O29" s="6" t="inlineStr">
        <is>
          <t>none - new tier</t>
        </is>
      </c>
      <c r="P29" s="6" t="inlineStr">
        <is>
          <t>market median</t>
        </is>
      </c>
      <c r="Q29" s="3" t="inlineStr">
        <is>
          <t>MPLS 1000Mbps MRC</t>
        </is>
      </c>
      <c r="R29" s="6" t="inlineStr">
        <is>
          <t>Lightyear; AGGREGATOR/SNIPPET_ONLY</t>
        </is>
      </c>
      <c r="S29" s="3" t="inlineStr">
        <is>
          <t>MPLS | $1,439 | $17,268 | All-inclusive managed service (1 Gbps)</t>
        </is>
      </c>
      <c r="T29" s="6" t="inlineStr">
        <is>
          <t>https://lightyear.ai/blogs/sd-wan-vs-mpls-cost-comparison</t>
        </is>
      </c>
      <c r="U29" s="6" t="inlineStr">
        <is>
          <t>2026</t>
        </is>
      </c>
      <c r="V29" s="6" t="inlineStr">
        <is>
          <t>toyota</t>
        </is>
      </c>
      <c r="W29" s="32" t="n">
        <v>0</v>
      </c>
      <c r="X29" s="6" t="n">
        <v>0</v>
      </c>
      <c r="Y29" s="3" t="inlineStr"/>
      <c r="Z29" s="3" t="inlineStr">
        <is>
          <t>no</t>
        </is>
      </c>
      <c r="AA29" s="6" t="inlineStr">
        <is>
          <t>NO_BENCHMARK_AT_BANDWIDTH</t>
        </is>
      </c>
    </row>
    <row r="30">
      <c r="A30" s="6" t="inlineStr">
        <is>
          <t>AU-DIA-250-researched</t>
        </is>
      </c>
      <c r="B30" s="6" t="inlineStr">
        <is>
          <t>AU</t>
        </is>
      </c>
      <c r="C30" s="6" t="inlineStr">
        <is>
          <t>DIA</t>
        </is>
      </c>
      <c r="D30" s="6" t="n">
        <v>250</v>
      </c>
      <c r="E30" s="13" t="inlineStr">
        <is>
          <t>Hold</t>
        </is>
      </c>
      <c r="F30" s="3" t="inlineStr">
        <is>
          <t>Vocus publishes Fast Fibre from A$339/month ex GST. Hold because it is a floor and the same research cites materially higher enterprise dedicated-fibre ranges.</t>
        </is>
      </c>
      <c r="G30" s="8" t="inlineStr">
        <is>
          <t>Hold</t>
        </is>
      </c>
      <c r="H30" s="9">
        <f>J30*0.75</f>
        <v>254.25</v>
      </c>
      <c r="I30" s="9">
        <f>J30*1.25</f>
        <v>423.75</v>
      </c>
      <c r="J30" s="10" t="n">
        <v>339</v>
      </c>
      <c r="K30" s="6" t="inlineStr">
        <is>
          <t>AUD</t>
        </is>
      </c>
      <c r="L30" s="10" t="n">
        <v>229.05</v>
      </c>
      <c r="M30" s="10" t="n"/>
      <c r="N30" s="31" t="str">
        <f>IF(OR(L30="",M30=""),"",L30/M30)</f>
        <v/>
      </c>
      <c r="O30" s="6" t="inlineStr">
        <is>
          <t>none - new tier</t>
        </is>
      </c>
      <c r="P30" s="6" t="inlineStr">
        <is>
          <t>business retail floor</t>
        </is>
      </c>
      <c r="Q30" s="3" t="inlineStr">
        <is>
          <t>Vocus Fast Fibre (250 Mbps+)</t>
        </is>
      </c>
      <c r="R30" s="6" t="inlineStr">
        <is>
          <t>Vocus; COMPANY_PUBLISHED/FULL_PAGE</t>
        </is>
      </c>
      <c r="S30" s="3" t="inlineStr">
        <is>
          <t>Fast Fibre from A$339/month ex GST; dedicated, symmetric and 1:1 contention.</t>
        </is>
      </c>
      <c r="T30" s="6" t="inlineStr">
        <is>
          <t>https://www.vocus.com.au/enterprise/internet-and-networks</t>
        </is>
      </c>
      <c r="U30" s="6" t="inlineStr">
        <is>
          <t>2026-10</t>
        </is>
      </c>
      <c r="V30" s="6" t="inlineStr">
        <is>
          <t>woolworths</t>
        </is>
      </c>
      <c r="W30" s="32" t="n">
        <v>-459004.9560810811</v>
      </c>
      <c r="X30" s="6" t="n">
        <v>30</v>
      </c>
      <c r="Y30" s="3" t="inlineStr">
        <is>
          <t>woolworths -459,005</t>
        </is>
      </c>
      <c r="Z30" s="3" t="inlineStr">
        <is>
          <t>no</t>
        </is>
      </c>
      <c r="AA30" s="6" t="inlineStr">
        <is>
          <t>NO_BENCHMARK_AT_BANDWIDTH - compared without converting currency</t>
        </is>
      </c>
    </row>
    <row r="31">
      <c r="A31" s="6" t="inlineStr">
        <is>
          <t>BE-BROADBAND_PON-2500-researched</t>
        </is>
      </c>
      <c r="B31" s="6" t="inlineStr">
        <is>
          <t>BE</t>
        </is>
      </c>
      <c r="C31" s="6" t="inlineStr">
        <is>
          <t>BROADBAND_PON</t>
        </is>
      </c>
      <c r="D31" s="6" t="n">
        <v>2500</v>
      </c>
      <c r="E31" s="13" t="inlineStr">
        <is>
          <t>Hold</t>
        </is>
      </c>
      <c r="F31" s="3" t="inlineStr">
        <is>
          <t>Proximus Flex+ is a small-business pack 'from' EUR 95 with services bundled in, not a connectivity price. No circuit in the set uses it.</t>
        </is>
      </c>
      <c r="G31" s="8" t="inlineStr">
        <is>
          <t>Hold</t>
        </is>
      </c>
      <c r="H31" s="9">
        <f>J31*0.75</f>
        <v>71.25</v>
      </c>
      <c r="I31" s="9">
        <f>J31*1.25</f>
        <v>118.75</v>
      </c>
      <c r="J31" s="10" t="n">
        <v>95</v>
      </c>
      <c r="K31" s="6" t="inlineStr">
        <is>
          <t>EUR</t>
        </is>
      </c>
      <c r="L31" s="10" t="n">
        <v>109.06</v>
      </c>
      <c r="M31" s="10" t="n"/>
      <c r="N31" s="31" t="str">
        <f>IF(OR(L31="",M31=""),"",L31/M31)</f>
        <v/>
      </c>
      <c r="O31" s="6" t="inlineStr">
        <is>
          <t>none - new tier</t>
        </is>
      </c>
      <c r="P31" s="6" t="inlineStr">
        <is>
          <t>bundle</t>
        </is>
      </c>
      <c r="Q31" s="3" t="inlineStr">
        <is>
          <t>BROADBAND_PON 2500 Mbps MRC (Proximus Flex+ Giga Fiber 2.5 Gbps)</t>
        </is>
      </c>
      <c r="R31" s="6" t="inlineStr">
        <is>
          <t>Proximus (proximus.com press release Jul 2025); COMPANY_PUBLISHED/FULL_PAGE</t>
        </is>
      </c>
      <c r="S31" s="3" t="inlineStr">
        <is>
          <t>Business Flex+ Giga Fiber 2.5 Gbps symmetric: from €95/month</t>
        </is>
      </c>
      <c r="T31" s="6" t="inlineStr">
        <is>
          <t>https://www.proximus.com/news/2025/202507-business-flex-plus-packs-as-of-july-1-2025.html</t>
        </is>
      </c>
      <c r="U31" s="6" t="inlineStr">
        <is>
          <t>2025-07</t>
        </is>
      </c>
      <c r="V31" s="6" t="inlineStr">
        <is>
          <t>bnp-paribas</t>
        </is>
      </c>
      <c r="W31" s="32" t="n">
        <v>0</v>
      </c>
      <c r="X31" s="6" t="n">
        <v>0</v>
      </c>
      <c r="Y31" s="3" t="inlineStr"/>
      <c r="Z31" s="3" t="inlineStr">
        <is>
          <t>1000 Mbps at 136 &gt; 2500 Mbps at 109</t>
        </is>
      </c>
      <c r="AA31" s="6" t="inlineStr">
        <is>
          <t>NO_BENCHMARK_AT_BANDWIDTH - compared without converting currency</t>
        </is>
      </c>
    </row>
    <row r="32">
      <c r="A32" s="6" t="inlineStr">
        <is>
          <t>ES-DIA-100-researched</t>
        </is>
      </c>
      <c r="B32" s="6" t="inlineStr">
        <is>
          <t>ES</t>
        </is>
      </c>
      <c r="C32" s="6" t="inlineStr">
        <is>
          <t>DIA</t>
        </is>
      </c>
      <c r="D32" s="6" t="n">
        <v>100</v>
      </c>
      <c r="E32" s="13" t="inlineStr">
        <is>
          <t>Hold</t>
        </is>
      </c>
      <c r="F32" s="3" t="inlineStr">
        <is>
          <t>Direct Telecom publishes a 100/100 Mbps guaranteed circuit at €159.99/month. Hold because it is a single reseller list price and has a large model effect.</t>
        </is>
      </c>
      <c r="G32" s="8" t="inlineStr">
        <is>
          <t>Hold</t>
        </is>
      </c>
      <c r="H32" s="9">
        <f>J32*0.75</f>
        <v>119.9925</v>
      </c>
      <c r="I32" s="9">
        <f>J32*1.25</f>
        <v>199.9875</v>
      </c>
      <c r="J32" s="10" t="n">
        <v>159.99</v>
      </c>
      <c r="K32" s="6" t="inlineStr">
        <is>
          <t>EUR</t>
        </is>
      </c>
      <c r="L32" s="10" t="n">
        <v>183.66</v>
      </c>
      <c r="M32" s="10" t="n"/>
      <c r="N32" s="31" t="str">
        <f>IF(OR(L32="",M32=""),"",L32/M32)</f>
        <v/>
      </c>
      <c r="O32" s="6" t="inlineStr">
        <is>
          <t>none - new tier</t>
        </is>
      </c>
      <c r="P32" s="6" t="inlineStr">
        <is>
          <t>reseller list</t>
        </is>
      </c>
      <c r="Q32" s="3" t="inlineStr">
        <is>
          <t>Direct Telecom Business Class Fibre — 100/100 Guaranteed</t>
        </is>
      </c>
      <c r="R32" s="6" t="inlineStr">
        <is>
          <t>Direct Telecom; COMPANY_PUBLISHED/FULL_PAGE</t>
        </is>
      </c>
      <c r="S32" s="3" t="inlineStr">
        <is>
          <t>100/100 Mbps guaranteed circuit: €159.99/month.</t>
        </is>
      </c>
      <c r="T32" s="6" t="inlineStr">
        <is>
          <t>https://direct-telecom.es/internet/business_class_fibre/</t>
        </is>
      </c>
      <c r="U32" s="6" t="inlineStr">
        <is>
          <t>2026-10</t>
        </is>
      </c>
      <c r="V32" s="6" t="inlineStr">
        <is>
          <t>inditex</t>
        </is>
      </c>
      <c r="W32" s="32" t="n">
        <v>-19536535.26</v>
      </c>
      <c r="X32" s="6" t="n">
        <v>2072</v>
      </c>
      <c r="Y32" s="3" t="inlineStr">
        <is>
          <t>santander -14,590,860; fresenius -4,811,403; carrefour -134,272</t>
        </is>
      </c>
      <c r="Z32" s="3" t="inlineStr">
        <is>
          <t>no</t>
        </is>
      </c>
      <c r="AA32" s="6" t="inlineStr">
        <is>
          <t>NO_BENCHMARK_AT_BANDWIDTH - compared without converting currency</t>
        </is>
      </c>
    </row>
    <row r="33">
      <c r="A33" s="6" t="inlineStr">
        <is>
          <t>ES-DIA-1000-researched</t>
        </is>
      </c>
      <c r="B33" s="6" t="inlineStr">
        <is>
          <t>ES</t>
        </is>
      </c>
      <c r="C33" s="6" t="inlineStr">
        <is>
          <t>DIA</t>
        </is>
      </c>
      <c r="D33" s="6" t="n">
        <v>1000</v>
      </c>
      <c r="E33" s="13" t="inlineStr">
        <is>
          <t>Hold</t>
        </is>
      </c>
      <c r="F33" s="3" t="inlineStr">
        <is>
          <t>Direct Telecom publishes a 1,000/1,000 Mbps dedicated circuit at €449/month. Hold because it is a single reseller list price and reprices lower Spanish DIA tiers.</t>
        </is>
      </c>
      <c r="G33" s="8" t="inlineStr">
        <is>
          <t>Hold</t>
        </is>
      </c>
      <c r="H33" s="9">
        <f>J33*0.75</f>
        <v>336.75</v>
      </c>
      <c r="I33" s="9">
        <f>J33*1.25</f>
        <v>561.25</v>
      </c>
      <c r="J33" s="10" t="n">
        <v>449</v>
      </c>
      <c r="K33" s="6" t="inlineStr">
        <is>
          <t>EUR</t>
        </is>
      </c>
      <c r="L33" s="10" t="n">
        <v>515.4400000000001</v>
      </c>
      <c r="M33" s="10" t="n">
        <v>1300</v>
      </c>
      <c r="N33" s="31">
        <f>IF(OR(L33="",M33=""),"",L33/M33)</f>
        <v>0.396492307692308</v>
      </c>
      <c r="O33" s="6" t="inlineStr">
        <is>
          <t>SEED</t>
        </is>
      </c>
      <c r="P33" s="6" t="inlineStr">
        <is>
          <t>reseller list</t>
        </is>
      </c>
      <c r="Q33" s="3" t="inlineStr">
        <is>
          <t>Direct Telecom Business Class Fibre — 1 Gbps Dedicated (1Net)</t>
        </is>
      </c>
      <c r="R33" s="6" t="inlineStr">
        <is>
          <t>Direct Telecom; COMPANY_PUBLISHED/FULL_PAGE</t>
        </is>
      </c>
      <c r="S33" s="3" t="inlineStr">
        <is>
          <t>1,000/1,000 Mbps dedicated circuit (1Net): €449/month.</t>
        </is>
      </c>
      <c r="T33" s="6" t="inlineStr">
        <is>
          <t>https://direct-telecom.es/internet/business_class_fibre/</t>
        </is>
      </c>
      <c r="U33" s="6" t="inlineStr">
        <is>
          <t>2026-10</t>
        </is>
      </c>
      <c r="V33" s="6" t="inlineStr">
        <is>
          <t>inditex</t>
        </is>
      </c>
      <c r="W33" s="32" t="n">
        <v>-12196995.84</v>
      </c>
      <c r="X33" s="6" t="n">
        <v>2100</v>
      </c>
      <c r="Y33" s="3" t="inlineStr">
        <is>
          <t>santander -8,937,825; fresenius -2,947,289; iberdrola -164,023</t>
        </is>
      </c>
      <c r="Z33" s="3" t="inlineStr">
        <is>
          <t>500 Mbps at 1196 &gt; 1000 Mbps at 515</t>
        </is>
      </c>
      <c r="AA33" s="6" t="inlineStr">
        <is>
          <t>OUTSIDE_BAND - compared without converting currency</t>
        </is>
      </c>
    </row>
    <row r="34">
      <c r="A34" s="6" t="inlineStr">
        <is>
          <t>GB-DIA-100-researched</t>
        </is>
      </c>
      <c r="B34" s="6" t="inlineStr">
        <is>
          <t>GB</t>
        </is>
      </c>
      <c r="C34" s="6" t="inlineStr">
        <is>
          <t>DIA</t>
        </is>
      </c>
      <c r="D34" s="6" t="n">
        <v>100</v>
      </c>
      <c r="E34" s="13" t="inlineStr">
        <is>
          <t>Hold</t>
        </is>
      </c>
      <c r="F34" s="3" t="inlineStr">
        <is>
          <t>Virgin's 'packages start at' floor. The seed it would replace is survey-sourced (grade C) and sits inside the GBP 175-320 range the same research quotes.</t>
        </is>
      </c>
      <c r="G34" s="8" t="inlineStr">
        <is>
          <t>Hold</t>
        </is>
      </c>
      <c r="H34" s="9">
        <f>J34*0.75</f>
        <v>138.75</v>
      </c>
      <c r="I34" s="9">
        <f>J34*1.25</f>
        <v>231.25</v>
      </c>
      <c r="J34" s="10" t="n">
        <v>185</v>
      </c>
      <c r="K34" s="6" t="inlineStr">
        <is>
          <t>GBP</t>
        </is>
      </c>
      <c r="L34" s="10" t="n">
        <v>247.89</v>
      </c>
      <c r="M34" s="10" t="n">
        <v>335</v>
      </c>
      <c r="N34" s="31">
        <f>IF(OR(L34="",M34=""),"",L34/M34)</f>
        <v>0.739970149253731</v>
      </c>
      <c r="O34" s="6" t="inlineStr">
        <is>
          <t>SEED</t>
        </is>
      </c>
      <c r="P34" s="6" t="inlineStr">
        <is>
          <t>business retail floor</t>
        </is>
      </c>
      <c r="Q34" s="3" t="inlineStr">
        <is>
          <t>GB DIA 100 Mbps MRC – Virgin Media Business published tariff</t>
        </is>
      </c>
      <c r="R34" s="6" t="inlineStr">
        <is>
          <t>Virgin Media Business; COMPANY_PUBLISHED/SNIPPET_ONLY</t>
        </is>
      </c>
      <c r="S34" s="3" t="inlineStr">
        <is>
          <t>Our packages start at £185 per month which provided 100Mbps upload and download speeds.</t>
        </is>
      </c>
      <c r="T34" s="6" t="inlineStr">
        <is>
          <t>https://www.virginmediabusiness.co.uk/connectivity/internet-access/leased-lines-for-business/</t>
        </is>
      </c>
      <c r="U34" s="6" t="inlineStr">
        <is>
          <t>2025</t>
        </is>
      </c>
      <c r="V34" s="6" t="inlineStr">
        <is>
          <t>unilever</t>
        </is>
      </c>
      <c r="W34" s="32" t="n">
        <v>-2414090.918069141</v>
      </c>
      <c r="X34" s="6" t="n">
        <v>2429</v>
      </c>
      <c r="Y34" s="3" t="inlineStr">
        <is>
          <t>nhs-england -1,121,155; saint-gobain -796,760; santander -280,459</t>
        </is>
      </c>
      <c r="Z34" s="3" t="inlineStr">
        <is>
          <t>no</t>
        </is>
      </c>
      <c r="AA34" s="6" t="inlineStr">
        <is>
          <t>OUTSIDE_BAND - compared without converting currency</t>
        </is>
      </c>
    </row>
    <row r="35">
      <c r="A35" s="6" t="inlineStr">
        <is>
          <t>GB-DIA-500-researched</t>
        </is>
      </c>
      <c r="B35" s="6" t="inlineStr">
        <is>
          <t>GB</t>
        </is>
      </c>
      <c r="C35" s="6" t="inlineStr">
        <is>
          <t>DIA</t>
        </is>
      </c>
      <c r="D35" s="6" t="n">
        <v>500</v>
      </c>
      <c r="E35" s="13" t="inlineStr">
        <is>
          <t>Hold</t>
        </is>
      </c>
      <c r="F35" s="3" t="inlineStr">
        <is>
          <t>Vodafone 'from' GBP 257 on a 60-month term. The same research puts urban 500 Mbps at GBP 350-500 on 36 months.</t>
        </is>
      </c>
      <c r="G35" s="8" t="inlineStr">
        <is>
          <t>Hold</t>
        </is>
      </c>
      <c r="H35" s="9">
        <f>J35*0.75</f>
        <v>192.75</v>
      </c>
      <c r="I35" s="9">
        <f>J35*1.25</f>
        <v>321.25</v>
      </c>
      <c r="J35" s="10" t="n">
        <v>257</v>
      </c>
      <c r="K35" s="6" t="inlineStr">
        <is>
          <t>GBP</t>
        </is>
      </c>
      <c r="L35" s="10" t="n">
        <v>344.37</v>
      </c>
      <c r="M35" s="10" t="n">
        <v>690</v>
      </c>
      <c r="N35" s="31">
        <f>IF(OR(L35="",M35=""),"",L35/M35)</f>
        <v>0.499086956521739</v>
      </c>
      <c r="O35" s="6" t="inlineStr">
        <is>
          <t>SEED</t>
        </is>
      </c>
      <c r="P35" s="6" t="inlineStr">
        <is>
          <t>business retail floor</t>
        </is>
      </c>
      <c r="Q35" s="3" t="inlineStr">
        <is>
          <t>DIA 500Mbps MRC – Vodafone Business published retail tariff</t>
        </is>
      </c>
      <c r="R35" s="6" t="inlineStr">
        <is>
          <t>Vodafone Business; COMPANY_PUBLISHED/FULL_PAGE</t>
        </is>
      </c>
      <c r="S35" s="3" t="inlineStr">
        <is>
          <t>Vodafone Dedicated Internet Access (Managed) 500 Mbps Monthly price from £257 (ex. VAT) 60 months</t>
        </is>
      </c>
      <c r="T35" s="6" t="inlineStr">
        <is>
          <t>https://www.vodafone.co.uk/business/connectivity/data-connectivity/dedicated-internet-access</t>
        </is>
      </c>
      <c r="U35" s="6" t="inlineStr">
        <is>
          <t>2025</t>
        </is>
      </c>
      <c r="V35" s="6" t="inlineStr">
        <is>
          <t>nhs-england</t>
        </is>
      </c>
      <c r="W35" s="32" t="n">
        <v>-2330376.070015842</v>
      </c>
      <c r="X35" s="6" t="n">
        <v>520</v>
      </c>
      <c r="Y35" s="3" t="inlineStr">
        <is>
          <t>deutsche-post-dhl -1,892,302; royal-mail -272,780; ups -112,906</t>
        </is>
      </c>
      <c r="Z35" s="3" t="inlineStr">
        <is>
          <t>300 Mbps at 600 &gt; 500 Mbps at 344</t>
        </is>
      </c>
      <c r="AA35" s="6" t="inlineStr">
        <is>
          <t>OUTSIDE_BAND - compared without converting currency</t>
        </is>
      </c>
    </row>
    <row r="36">
      <c r="A36" s="6" t="inlineStr">
        <is>
          <t>SG-DIA-100-researched</t>
        </is>
      </c>
      <c r="B36" s="6" t="inlineStr">
        <is>
          <t>SG</t>
        </is>
      </c>
      <c r="C36" s="6" t="inlineStr">
        <is>
          <t>DIA</t>
        </is>
      </c>
      <c r="D36" s="6" t="n">
        <v>100</v>
      </c>
      <c r="E36" s="13" t="inlineStr">
        <is>
          <t>Hold</t>
        </is>
      </c>
      <c r="F36" s="3" t="inlineStr">
        <is>
          <t>Published on SPTel's promotion page (valid to 31 Dec 2026). No circuit in the set uses it.</t>
        </is>
      </c>
      <c r="G36" s="8" t="inlineStr">
        <is>
          <t>Hold</t>
        </is>
      </c>
      <c r="H36" s="9">
        <f>J36*0.75</f>
        <v>234</v>
      </c>
      <c r="I36" s="9">
        <f>J36*1.25</f>
        <v>390</v>
      </c>
      <c r="J36" s="10" t="n">
        <v>312</v>
      </c>
      <c r="K36" s="6" t="inlineStr">
        <is>
          <t>SGD</t>
        </is>
      </c>
      <c r="L36" s="10" t="n">
        <v>243.75</v>
      </c>
      <c r="M36" s="10" t="n">
        <v>660</v>
      </c>
      <c r="N36" s="31">
        <f>IF(OR(L36="",M36=""),"",L36/M36)</f>
        <v>0.369318181818182</v>
      </c>
      <c r="O36" s="6" t="inlineStr">
        <is>
          <t>SEED</t>
        </is>
      </c>
      <c r="P36" s="6" t="inlineStr">
        <is>
          <t>promotional</t>
        </is>
      </c>
      <c r="Q36" s="3" t="inlineStr">
        <is>
          <t>DIA 100 Mbps MRC — Singapore (SPTel enterprise tariff)</t>
        </is>
      </c>
      <c r="R36" s="6" t="inlineStr">
        <is>
          <t>SPTel; COMPANY_PUBLISHED/SNIPPET_ONLY</t>
        </is>
      </c>
      <c r="S36" s="3" t="inlineStr">
        <is>
          <t>Enterprise Internet 100Mbps $312/mth (on 24-month contract)</t>
        </is>
      </c>
      <c r="T36" s="6" t="inlineStr">
        <is>
          <t>https://sptel.com/promotion/business-broadband-singapore/</t>
        </is>
      </c>
      <c r="U36" s="6" t="inlineStr">
        <is>
          <t>2026</t>
        </is>
      </c>
      <c r="V36" s="6" t="inlineStr">
        <is>
          <t>dbs</t>
        </is>
      </c>
      <c r="W36" s="32" t="n">
        <v>0</v>
      </c>
      <c r="X36" s="6" t="n">
        <v>0</v>
      </c>
      <c r="Y36" s="3" t="inlineStr"/>
      <c r="Z36" s="3" t="inlineStr">
        <is>
          <t>no</t>
        </is>
      </c>
      <c r="AA36" s="6" t="inlineStr">
        <is>
          <t>OUTSIDE_BAND - compared without converting currency</t>
        </is>
      </c>
    </row>
    <row r="37">
      <c r="A37" s="6" t="inlineStr">
        <is>
          <t>US-BROADBAND_PON-300-researched</t>
        </is>
      </c>
      <c r="B37" s="6" t="inlineStr">
        <is>
          <t>US</t>
        </is>
      </c>
      <c r="C37" s="6" t="inlineStr">
        <is>
          <t>BROADBAND_PON</t>
        </is>
      </c>
      <c r="D37" s="6" t="n">
        <v>300</v>
      </c>
      <c r="E37" s="13" t="inlineStr">
        <is>
          <t>Hold</t>
        </is>
      </c>
      <c r="F37" s="3" t="inlineStr">
        <is>
          <t>AT&amp;T Business Fiber 300, inside AT&amp;T's footprint only. At $70 it is below the national median for 100 Mbps, and would price every US PON circuit up to 300 Mbps at it.</t>
        </is>
      </c>
      <c r="G37" s="8" t="inlineStr">
        <is>
          <t>Hold</t>
        </is>
      </c>
      <c r="H37" s="9">
        <f>J37*0.75</f>
        <v>52.5</v>
      </c>
      <c r="I37" s="9">
        <f>J37*1.25</f>
        <v>87.5</v>
      </c>
      <c r="J37" s="10" t="n">
        <v>70</v>
      </c>
      <c r="K37" s="6" t="inlineStr">
        <is>
          <t>USD</t>
        </is>
      </c>
      <c r="L37" s="10" t="n">
        <v>70</v>
      </c>
      <c r="M37" s="10" t="n"/>
      <c r="N37" s="31" t="str">
        <f>IF(OR(L37="",M37=""),"",L37/M37)</f>
        <v/>
      </c>
      <c r="O37" s="6" t="inlineStr">
        <is>
          <t>none - new tier</t>
        </is>
      </c>
      <c r="P37" s="6" t="inlineStr">
        <is>
          <t>single carrier</t>
        </is>
      </c>
      <c r="Q37" s="3" t="inlineStr">
        <is>
          <t>BROADBAND_PON 300 Mbps MRC – US (AT&amp;T Business Fiber published rate)</t>
        </is>
      </c>
      <c r="R37" s="6" t="inlineStr">
        <is>
          <t>business.org (AT&amp;T Business Internet Review 2026); AGGREGATOR/SNIPPET_ONLY</t>
        </is>
      </c>
      <c r="S37" s="3" t="inlineStr">
        <is>
          <t>Business Fiber 300: $70.00/mo</t>
        </is>
      </c>
      <c r="T37" s="6" t="inlineStr">
        <is>
          <t>https://www.business.org/services/internet/att-business-internet-review/</t>
        </is>
      </c>
      <c r="U37" s="6" t="inlineStr">
        <is>
          <t>2026</t>
        </is>
      </c>
      <c r="V37" s="6" t="inlineStr">
        <is>
          <t>simmons-bank</t>
        </is>
      </c>
      <c r="W37" s="32" t="n">
        <v>-153835.978548</v>
      </c>
      <c r="X37" s="6" t="n">
        <v>243</v>
      </c>
      <c r="Y37" s="3" t="inlineStr">
        <is>
          <t>simmons-bank -60,165; basf -21,803; siemens -18,573</t>
        </is>
      </c>
      <c r="Z37" s="3" t="inlineStr">
        <is>
          <t>250 Mbps at 114 &gt; 300 Mbps at 70</t>
        </is>
      </c>
      <c r="AA37" s="6" t="inlineStr">
        <is>
          <t>NO_BENCHMARK_AT_BANDWIDTH</t>
        </is>
      </c>
    </row>
    <row r="38">
      <c r="A38" s="6" t="inlineStr">
        <is>
          <t>ZA-DIA-100-researched</t>
        </is>
      </c>
      <c r="B38" s="6" t="inlineStr">
        <is>
          <t>ZA</t>
        </is>
      </c>
      <c r="C38" s="6" t="inlineStr">
        <is>
          <t>DIA</t>
        </is>
      </c>
      <c r="D38" s="6" t="n">
        <v>100</v>
      </c>
      <c r="E38" s="13" t="inlineStr">
        <is>
          <t>Hold</t>
        </is>
      </c>
      <c r="F38" s="3" t="inlineStr">
        <is>
          <t>MWCom 'from around R8,000'; the same research gives R8,000-25,000 depending on distance and capacity.</t>
        </is>
      </c>
      <c r="G38" s="8" t="inlineStr">
        <is>
          <t>Hold</t>
        </is>
      </c>
      <c r="H38" s="9">
        <f>J38*0.75</f>
        <v>6000</v>
      </c>
      <c r="I38" s="9">
        <f>J38*1.25</f>
        <v>10000</v>
      </c>
      <c r="J38" s="10" t="n">
        <v>8000</v>
      </c>
      <c r="K38" s="6" t="inlineStr">
        <is>
          <t>ZAR</t>
        </is>
      </c>
      <c r="L38" s="10" t="n">
        <v>444.44</v>
      </c>
      <c r="M38" s="10" t="n"/>
      <c r="N38" s="31" t="str">
        <f>IF(OR(L38="",M38=""),"",L38/M38)</f>
        <v/>
      </c>
      <c r="O38" s="6" t="inlineStr">
        <is>
          <t>none - new tier</t>
        </is>
      </c>
      <c r="P38" s="6" t="inlineStr">
        <is>
          <t>business retail floor</t>
        </is>
      </c>
      <c r="Q38" s="3" t="inlineStr">
        <is>
          <t>DIA 100 Mbps MRC ZA (leased line / dedicated fibre)</t>
        </is>
      </c>
      <c r="R38" s="6" t="inlineStr">
        <is>
          <t>mwcom.co.za; COMPANY_PUBLISHED/SNIPPET_ONLY</t>
        </is>
      </c>
      <c r="S38" s="3" t="inlineStr">
        <is>
          <t>Leased lines start from around R8,000/mo for 100 Mbps symmetric.</t>
        </is>
      </c>
      <c r="T38" s="6" t="inlineStr">
        <is>
          <t>https://www.mwcom.co.za/business-internet-south-africa</t>
        </is>
      </c>
      <c r="U38" s="6" t="inlineStr">
        <is>
          <t>2026</t>
        </is>
      </c>
      <c r="V38" s="6" t="inlineStr">
        <is>
          <t>anglo-american</t>
        </is>
      </c>
      <c r="W38" s="32" t="n">
        <v>-16474.2432</v>
      </c>
      <c r="X38" s="6" t="n">
        <v>1</v>
      </c>
      <c r="Y38" s="3" t="inlineStr">
        <is>
          <t>anglo-american -16,474</t>
        </is>
      </c>
      <c r="Z38" s="3" t="inlineStr">
        <is>
          <t>no</t>
        </is>
      </c>
      <c r="AA38" s="6" t="inlineStr">
        <is>
          <t>NO_BENCHMARK_AT_BANDWIDTH - compared without converting currency</t>
        </is>
      </c>
    </row>
    <row r="39">
      <c r="A39" s="6" t="inlineStr">
        <is>
          <t>AU-DIA-1000-researched</t>
        </is>
      </c>
      <c r="B39" s="6" t="inlineStr">
        <is>
          <t>AU</t>
        </is>
      </c>
      <c r="C39" s="6" t="inlineStr">
        <is>
          <t>DIA</t>
        </is>
      </c>
      <c r="D39" s="6" t="n">
        <v>1000</v>
      </c>
      <c r="E39" s="14" t="inlineStr">
        <is>
          <t>Reject</t>
        </is>
      </c>
      <c r="F39" s="3" t="inlineStr">
        <is>
          <t>An on-net data-centre DIA price (Nexthop), not site access. The same research cites A$2,500-8,000 for enterprise dedicated fibre.</t>
        </is>
      </c>
      <c r="G39" s="8" t="inlineStr">
        <is>
          <t>Reject</t>
        </is>
      </c>
      <c r="H39" s="9">
        <f>J39*0.75</f>
        <v>374.25</v>
      </c>
      <c r="I39" s="9">
        <f>J39*1.25</f>
        <v>623.75</v>
      </c>
      <c r="J39" s="10" t="n">
        <v>499</v>
      </c>
      <c r="K39" s="6" t="inlineStr">
        <is>
          <t>AUD</t>
        </is>
      </c>
      <c r="L39" s="10" t="n">
        <v>337.16</v>
      </c>
      <c r="M39" s="10" t="n">
        <v>1750</v>
      </c>
      <c r="N39" s="31">
        <f>IF(OR(L39="",M39=""),"",L39/M39)</f>
        <v>0.192662857142857</v>
      </c>
      <c r="O39" s="6" t="inlineStr">
        <is>
          <t>SEED</t>
        </is>
      </c>
      <c r="P39" s="6" t="inlineStr">
        <is>
          <t>datacentre on net</t>
        </is>
      </c>
      <c r="Q39" s="3" t="inlineStr">
        <is>
          <t>Nexthop Datacentre DIA — 1 Gbps</t>
        </is>
      </c>
      <c r="R39" s="6" t="inlineStr">
        <is>
          <t>Nexthop; COMPANY_PUBLISHED/FULL_PAGE</t>
        </is>
      </c>
      <c r="S39" s="3" t="inlineStr">
        <is>
          <t>1 Gbps datacentre DIA: A$499/month on a 24-month term; on-net.</t>
        </is>
      </c>
      <c r="T39" s="6" t="inlineStr">
        <is>
          <t>https://www.nexthop.com.au/dedicated-internet-access/</t>
        </is>
      </c>
      <c r="U39" s="6" t="inlineStr">
        <is>
          <t>2026-10</t>
        </is>
      </c>
      <c r="V39" s="6" t="inlineStr">
        <is>
          <t>woolworths</t>
        </is>
      </c>
      <c r="W39" s="32" t="n">
        <v>-416627.1182432433</v>
      </c>
      <c r="X39" s="6" t="n">
        <v>30</v>
      </c>
      <c r="Y39" s="3" t="inlineStr">
        <is>
          <t>woolworths -416,627</t>
        </is>
      </c>
      <c r="Z39" s="3" t="inlineStr">
        <is>
          <t>500 Mbps at 1610 &gt; 1000 Mbps at 337</t>
        </is>
      </c>
      <c r="AA39" s="6" t="inlineStr">
        <is>
          <t>OUTSIDE_BAND - compared without converting currency</t>
        </is>
      </c>
    </row>
    <row r="40">
      <c r="A40" s="6" t="inlineStr">
        <is>
          <t>DE-BROADBAND_PON-75-researched</t>
        </is>
      </c>
      <c r="B40" s="6" t="inlineStr">
        <is>
          <t>DE</t>
        </is>
      </c>
      <c r="C40" s="6" t="inlineStr">
        <is>
          <t>BROADBAND_PON</t>
        </is>
      </c>
      <c r="D40" s="6" t="n">
        <v>75</v>
      </c>
      <c r="E40" s="14" t="inlineStr">
        <is>
          <t>Reject</t>
        </is>
      </c>
      <c r="F40" s="3" t="inlineStr">
        <is>
          <t>A wholesale bitstream price cap for subsidised networks (BMDV L2-BSA). A business pays the retail price on top of it.</t>
        </is>
      </c>
      <c r="G40" s="8" t="inlineStr">
        <is>
          <t>Reject</t>
        </is>
      </c>
      <c r="H40" s="9">
        <f>J40*0.75</f>
        <v>14.415</v>
      </c>
      <c r="I40" s="9">
        <f>J40*1.25</f>
        <v>24.025</v>
      </c>
      <c r="J40" s="10" t="n">
        <v>19.22</v>
      </c>
      <c r="K40" s="6" t="inlineStr">
        <is>
          <t>EUR</t>
        </is>
      </c>
      <c r="L40" s="10" t="n">
        <v>22.06</v>
      </c>
      <c r="M40" s="10" t="n"/>
      <c r="N40" s="31" t="str">
        <f>IF(OR(L40="",M40=""),"",L40/M40)</f>
        <v/>
      </c>
      <c r="O40" s="6" t="inlineStr">
        <is>
          <t>none - new tier</t>
        </is>
      </c>
      <c r="P40" s="6" t="inlineStr">
        <is>
          <t>wholesale</t>
        </is>
      </c>
      <c r="Q40" s="3" t="inlineStr">
        <is>
          <t>DE BROADBAND_PON wholesale bitstream L2-BSA 50-99 Mbps MRC (regulatory price cap)</t>
        </is>
      </c>
      <c r="R40" s="6" t="inlineStr">
        <is>
          <t>BMDV / Bundesnetzagentur (German Federal Ministry for Digital Affairs); REGULATOR/SNIPPET_ONLY</t>
        </is>
      </c>
      <c r="S40" s="3" t="inlineStr">
        <is>
          <t>50 – 99 Mbit/s … L2-BSA Überlassungsentgelt … 19,22 €</t>
        </is>
      </c>
      <c r="T40" s="6" t="inlineStr">
        <is>
          <t>https://www.bmv.de/SharedDocs/DE/Anlage/DG/vorleistungspreise.pdf?__blob=publicationFile</t>
        </is>
      </c>
      <c r="U40" s="6" t="inlineStr">
        <is>
          <t>2024-12</t>
        </is>
      </c>
      <c r="V40" s="6" t="inlineStr">
        <is>
          <t>fresenius</t>
        </is>
      </c>
      <c r="W40" s="32" t="n">
        <v>0</v>
      </c>
      <c r="X40" s="6" t="n">
        <v>0</v>
      </c>
      <c r="Y40" s="3" t="inlineStr"/>
      <c r="Z40" s="3" t="inlineStr">
        <is>
          <t>50 Mbps at 64 &gt; 75 Mbps at 22</t>
        </is>
      </c>
      <c r="AA40" s="6" t="inlineStr">
        <is>
          <t>NO_BENCHMARK_AT_BANDWIDTH - compared without converting currency</t>
        </is>
      </c>
    </row>
    <row r="41">
      <c r="A41" s="6" t="inlineStr">
        <is>
          <t>DE-BROADBAND_PON-150-researched</t>
        </is>
      </c>
      <c r="B41" s="6" t="inlineStr">
        <is>
          <t>DE</t>
        </is>
      </c>
      <c r="C41" s="6" t="inlineStr">
        <is>
          <t>BROADBAND_PON</t>
        </is>
      </c>
      <c r="D41" s="6" t="n">
        <v>150</v>
      </c>
      <c r="E41" s="14" t="inlineStr">
        <is>
          <t>Reject</t>
        </is>
      </c>
      <c r="F41" s="3" t="inlineStr">
        <is>
          <t>A wholesale bitstream price cap for subsidised networks (BMDV L2-BSA). A business pays the retail price on top of it.</t>
        </is>
      </c>
      <c r="G41" s="8" t="inlineStr">
        <is>
          <t>Reject</t>
        </is>
      </c>
      <c r="H41" s="9">
        <f>J41*0.75</f>
        <v>16.1625</v>
      </c>
      <c r="I41" s="9">
        <f>J41*1.25</f>
        <v>26.9375</v>
      </c>
      <c r="J41" s="10" t="n">
        <v>21.55</v>
      </c>
      <c r="K41" s="6" t="inlineStr">
        <is>
          <t>EUR</t>
        </is>
      </c>
      <c r="L41" s="10" t="n">
        <v>24.74</v>
      </c>
      <c r="M41" s="10" t="n"/>
      <c r="N41" s="31" t="str">
        <f>IF(OR(L41="",M41=""),"",L41/M41)</f>
        <v/>
      </c>
      <c r="O41" s="6" t="inlineStr">
        <is>
          <t>none - new tier</t>
        </is>
      </c>
      <c r="P41" s="6" t="inlineStr">
        <is>
          <t>wholesale</t>
        </is>
      </c>
      <c r="Q41" s="3" t="inlineStr">
        <is>
          <t>DE BROADBAND_PON wholesale bitstream L2-BSA 100-199 Mbps MRC (regulatory price cap)</t>
        </is>
      </c>
      <c r="R41" s="6" t="inlineStr">
        <is>
          <t>BMDV / Bundesnetzagentur; REGULATOR/SNIPPET_ONLY</t>
        </is>
      </c>
      <c r="S41" s="3" t="inlineStr">
        <is>
          <t>100 – 199 Mbit/s … L2-BSA … 21,55 €</t>
        </is>
      </c>
      <c r="T41" s="6" t="inlineStr">
        <is>
          <t>https://www.bmv.de/SharedDocs/DE/Anlage/DG/vorleistungspreise.pdf?__blob=publicationFile</t>
        </is>
      </c>
      <c r="U41" s="6" t="inlineStr">
        <is>
          <t>2024-12</t>
        </is>
      </c>
      <c r="V41" s="6" t="inlineStr">
        <is>
          <t>fresenius</t>
        </is>
      </c>
      <c r="W41" s="32" t="n">
        <v>0</v>
      </c>
      <c r="X41" s="6" t="n">
        <v>0</v>
      </c>
      <c r="Y41" s="3" t="inlineStr"/>
      <c r="Z41" s="3" t="inlineStr">
        <is>
          <t>100 Mbps at 78 &gt; 150 Mbps at 25</t>
        </is>
      </c>
      <c r="AA41" s="6" t="inlineStr">
        <is>
          <t>NO_BENCHMARK_AT_BANDWIDTH - compared without converting currency</t>
        </is>
      </c>
    </row>
    <row r="42">
      <c r="A42" s="6" t="inlineStr">
        <is>
          <t>DE-BROADBAND_PON-750-researched</t>
        </is>
      </c>
      <c r="B42" s="6" t="inlineStr">
        <is>
          <t>DE</t>
        </is>
      </c>
      <c r="C42" s="6" t="inlineStr">
        <is>
          <t>BROADBAND_PON</t>
        </is>
      </c>
      <c r="D42" s="6" t="n">
        <v>750</v>
      </c>
      <c r="E42" s="14" t="inlineStr">
        <is>
          <t>Reject</t>
        </is>
      </c>
      <c r="F42" s="3" t="inlineStr">
        <is>
          <t>A wholesale bitstream price cap for subsidised networks (BMDV L2-BSA). A business pays the retail price on top of it.</t>
        </is>
      </c>
      <c r="G42" s="8" t="inlineStr">
        <is>
          <t>Reject</t>
        </is>
      </c>
      <c r="H42" s="9">
        <f>J42*0.75</f>
        <v>23.055</v>
      </c>
      <c r="I42" s="9">
        <f>J42*1.25</f>
        <v>38.425</v>
      </c>
      <c r="J42" s="10" t="n">
        <v>30.74</v>
      </c>
      <c r="K42" s="6" t="inlineStr">
        <is>
          <t>EUR</t>
        </is>
      </c>
      <c r="L42" s="10" t="n">
        <v>35.29</v>
      </c>
      <c r="M42" s="10" t="n"/>
      <c r="N42" s="31" t="str">
        <f>IF(OR(L42="",M42=""),"",L42/M42)</f>
        <v/>
      </c>
      <c r="O42" s="6" t="inlineStr">
        <is>
          <t>none - new tier</t>
        </is>
      </c>
      <c r="P42" s="6" t="inlineStr">
        <is>
          <t>wholesale</t>
        </is>
      </c>
      <c r="Q42" s="3" t="inlineStr">
        <is>
          <t>DE BROADBAND_PON wholesale bitstream L2-BSA 500-999 Mbps MRC (regulatory price cap)</t>
        </is>
      </c>
      <c r="R42" s="6" t="inlineStr">
        <is>
          <t>BMDV / Bundesnetzagentur; REGULATOR/SNIPPET_ONLY</t>
        </is>
      </c>
      <c r="S42" s="3" t="inlineStr">
        <is>
          <t>500 – 999 Mbit/s … L2-BSA … 30,74 €</t>
        </is>
      </c>
      <c r="T42" s="6" t="inlineStr">
        <is>
          <t>https://www.bmv.de/SharedDocs/DE/Anlage/DG/vorleistungspreise.pdf?__blob=publicationFile</t>
        </is>
      </c>
      <c r="U42" s="6" t="inlineStr">
        <is>
          <t>2024-12</t>
        </is>
      </c>
      <c r="V42" s="6" t="inlineStr">
        <is>
          <t>fresenius</t>
        </is>
      </c>
      <c r="W42" s="32" t="n">
        <v>-131200.10221975</v>
      </c>
      <c r="X42" s="6" t="n">
        <v>126</v>
      </c>
      <c r="Y42" s="3" t="inlineStr">
        <is>
          <t>basf -38,527; siemens -29,156; volkswagen -29,156</t>
        </is>
      </c>
      <c r="Z42" s="3" t="inlineStr">
        <is>
          <t>500 Mbps at 132 &gt; 750 Mbps at 35</t>
        </is>
      </c>
      <c r="AA42" s="6" t="inlineStr">
        <is>
          <t>NO_BENCHMARK_AT_BANDWIDTH - compared without converting currency</t>
        </is>
      </c>
    </row>
    <row r="43">
      <c r="A43" s="6" t="inlineStr">
        <is>
          <t>DE-BROADBAND_PON-1000-researched</t>
        </is>
      </c>
      <c r="B43" s="6" t="inlineStr">
        <is>
          <t>DE</t>
        </is>
      </c>
      <c r="C43" s="6" t="inlineStr">
        <is>
          <t>BROADBAND_PON</t>
        </is>
      </c>
      <c r="D43" s="6" t="n">
        <v>1000</v>
      </c>
      <c r="E43" s="14" t="inlineStr">
        <is>
          <t>Reject</t>
        </is>
      </c>
      <c r="F43" s="3" t="inlineStr">
        <is>
          <t>A wholesale bitstream price cap for subsidised networks (BMDV L2-BSA). The source itself says retail will be higher after the margin stack.</t>
        </is>
      </c>
      <c r="G43" s="8" t="inlineStr">
        <is>
          <t>Reject</t>
        </is>
      </c>
      <c r="H43" s="9">
        <f>J43*0.75</f>
        <v>31.4775</v>
      </c>
      <c r="I43" s="9">
        <f>J43*1.25</f>
        <v>52.4625</v>
      </c>
      <c r="J43" s="10" t="n">
        <v>41.97</v>
      </c>
      <c r="K43" s="6" t="inlineStr">
        <is>
          <t>EUR</t>
        </is>
      </c>
      <c r="L43" s="10" t="n">
        <v>48.18</v>
      </c>
      <c r="M43" s="10" t="n">
        <v>171</v>
      </c>
      <c r="N43" s="31">
        <f>IF(OR(L43="",M43=""),"",L43/M43)</f>
        <v>0.281754385964912</v>
      </c>
      <c r="O43" s="6" t="inlineStr">
        <is>
          <t>SEED</t>
        </is>
      </c>
      <c r="P43" s="6" t="inlineStr">
        <is>
          <t>wholesale</t>
        </is>
      </c>
      <c r="Q43" s="3" t="inlineStr">
        <is>
          <t>DE BROADBAND_PON wholesale bitstream L2-BSA 1000 Mbps MRC (regulatory price cap)</t>
        </is>
      </c>
      <c r="R43" s="6" t="inlineStr">
        <is>
          <t>BMDV / Bundesnetzagentur; REGULATOR/SNIPPET_ONLY</t>
        </is>
      </c>
      <c r="S43" s="3" t="inlineStr">
        <is>
          <t>1000 Mbit/s … L2-BSA … 41,97 €</t>
        </is>
      </c>
      <c r="T43" s="6" t="inlineStr">
        <is>
          <t>https://www.bmv.de/SharedDocs/DE/Anlage/DG/vorleistungspreise.pdf?__blob=publicationFile</t>
        </is>
      </c>
      <c r="U43" s="6" t="inlineStr">
        <is>
          <t>2024-12</t>
        </is>
      </c>
      <c r="V43" s="6" t="inlineStr">
        <is>
          <t>fresenius</t>
        </is>
      </c>
      <c r="W43" s="32" t="n">
        <v>-113710.9553765</v>
      </c>
      <c r="X43" s="6" t="n">
        <v>126</v>
      </c>
      <c r="Y43" s="3" t="inlineStr">
        <is>
          <t>basf -33,391; siemens -25,269; volkswagen -25,269</t>
        </is>
      </c>
      <c r="Z43" s="3" t="inlineStr">
        <is>
          <t>500 Mbps at 132 &gt; 1000 Mbps at 48</t>
        </is>
      </c>
      <c r="AA43" s="6" t="inlineStr">
        <is>
          <t>OUTSIDE_BAND - compared without converting currency</t>
        </is>
      </c>
    </row>
    <row r="44">
      <c r="A44" s="6" t="inlineStr">
        <is>
          <t>ES-DIA-600-researched</t>
        </is>
      </c>
      <c r="B44" s="6" t="inlineStr">
        <is>
          <t>ES</t>
        </is>
      </c>
      <c r="C44" s="6" t="inlineStr">
        <is>
          <t>DIA</t>
        </is>
      </c>
      <c r="D44" s="6" t="n">
        <v>600</v>
      </c>
      <c r="E44" s="13" t="inlineStr">
        <is>
          <t>Hold</t>
        </is>
      </c>
      <c r="F44" s="3" t="inlineStr">
        <is>
          <t>Direct Telecom's published business-class page lists a 600/600 Mbps dedicated circuit at €1,100/month. Hold because it is a single reseller list price and the service variant should be confirmed before country-wide use.</t>
        </is>
      </c>
      <c r="G44" s="8" t="inlineStr">
        <is>
          <t>Hold</t>
        </is>
      </c>
      <c r="H44" s="9">
        <f>J44*0.75</f>
        <v>825</v>
      </c>
      <c r="I44" s="9">
        <f>J44*1.25</f>
        <v>1375</v>
      </c>
      <c r="J44" s="10" t="n">
        <v>1100</v>
      </c>
      <c r="K44" s="6" t="inlineStr">
        <is>
          <t>EUR</t>
        </is>
      </c>
      <c r="L44" s="10" t="n">
        <v>1262.77</v>
      </c>
      <c r="M44" s="10" t="n"/>
      <c r="N44" s="31" t="str">
        <f>IF(OR(L44="",M44=""),"",L44/M44)</f>
        <v/>
      </c>
      <c r="O44" s="6" t="inlineStr">
        <is>
          <t>none - new tier</t>
        </is>
      </c>
      <c r="P44" s="6" t="inlineStr">
        <is>
          <t>reseller list</t>
        </is>
      </c>
      <c r="Q44" s="3" t="inlineStr">
        <is>
          <t>Direct Telecom Business Class Fibre — 600/600 Dedicated (3Net)</t>
        </is>
      </c>
      <c r="R44" s="6" t="inlineStr">
        <is>
          <t>Direct Telecom; COMPANY_PUBLISHED/FULL_PAGE</t>
        </is>
      </c>
      <c r="S44" s="3" t="inlineStr">
        <is>
          <t>600/600 Mbps dedicated circuit (3Net): €1,100/month.</t>
        </is>
      </c>
      <c r="T44" s="6" t="inlineStr">
        <is>
          <t>https://direct-telecom.es/internet/business_class_fibre/</t>
        </is>
      </c>
      <c r="U44" s="6" t="inlineStr">
        <is>
          <t>2026-10</t>
        </is>
      </c>
      <c r="V44" s="6" t="inlineStr">
        <is>
          <t>carrefour</t>
        </is>
      </c>
      <c r="W44" s="32" t="n">
        <v>0</v>
      </c>
      <c r="X44" s="6" t="n">
        <v>0</v>
      </c>
      <c r="Y44" s="3" t="inlineStr"/>
      <c r="Z44" s="3" t="inlineStr">
        <is>
          <t>no</t>
        </is>
      </c>
      <c r="AA44" s="6" t="inlineStr">
        <is>
          <t>NO_BENCHMARK_AT_BANDWIDTH - compared without converting currency</t>
        </is>
      </c>
    </row>
    <row r="45">
      <c r="A45" s="6" t="inlineStr">
        <is>
          <t>FR-BROADBAND_PON-100-researched</t>
        </is>
      </c>
      <c r="B45" s="6" t="inlineStr">
        <is>
          <t>FR</t>
        </is>
      </c>
      <c r="C45" s="6" t="inlineStr">
        <is>
          <t>BROADBAND_PON</t>
        </is>
      </c>
      <c r="D45" s="6" t="n">
        <v>100</v>
      </c>
      <c r="E45" s="14" t="inlineStr">
        <is>
          <t>Reject</t>
        </is>
      </c>
      <c r="F45" s="3" t="inlineStr">
        <is>
          <t>ARCEP's cheapest consumer double-play range, incl. VAT, not a business tariff.</t>
        </is>
      </c>
      <c r="G45" s="8" t="inlineStr">
        <is>
          <t>Reject</t>
        </is>
      </c>
      <c r="H45" s="9">
        <f>J45*0.75</f>
        <v>19.59</v>
      </c>
      <c r="I45" s="9">
        <f>J45*1.25</f>
        <v>32.65</v>
      </c>
      <c r="J45" s="10" t="n">
        <v>26.12</v>
      </c>
      <c r="K45" s="6" t="inlineStr">
        <is>
          <t>EUR</t>
        </is>
      </c>
      <c r="L45" s="10" t="n">
        <v>29.99</v>
      </c>
      <c r="M45" s="10" t="n">
        <v>68</v>
      </c>
      <c r="N45" s="31">
        <f>IF(OR(L45="",M45=""),"",L45/M45)</f>
        <v>0.441029411764706</v>
      </c>
      <c r="O45" s="6" t="inlineStr">
        <is>
          <t>SEED</t>
        </is>
      </c>
      <c r="P45" s="6" t="inlineStr">
        <is>
          <t>consumer</t>
        </is>
      </c>
      <c r="Q45" s="3" t="inlineStr">
        <is>
          <t>BROADBAND_PON France cheapest FttH/coaxial consumer double-play plan</t>
        </is>
      </c>
      <c r="R45" s="6" t="inlineStr">
        <is>
          <t>ARCEP; REGULATOR/SNIPPET_ONLY</t>
        </is>
      </c>
      <c r="S45" s="3" t="inlineStr">
        <is>
          <t>Les tarifs mensuels des offres FttH ou avec terminaison coaxiale les moins chères sont compris, en juin 2025, entre 20 € et 36 € TTC</t>
        </is>
      </c>
      <c r="T45" s="6" t="inlineStr">
        <is>
          <t>https://www.arcep.fr/uploads/tx_gspublication/etude-tarifs-services-fixes-France-evolution-2015-2025_janv2026.pdf</t>
        </is>
      </c>
      <c r="U45" s="6" t="inlineStr">
        <is>
          <t>2025-06</t>
        </is>
      </c>
      <c r="V45" s="6" t="inlineStr">
        <is>
          <t>air-france-klm</t>
        </is>
      </c>
      <c r="W45" s="32" t="n">
        <v>-723966.3278903649</v>
      </c>
      <c r="X45" s="6" t="n">
        <v>1784</v>
      </c>
      <c r="Y45" s="3" t="inlineStr">
        <is>
          <t>bnp-paribas -509,835; heidelberg-materials -93,018; allianz -69,541</t>
        </is>
      </c>
      <c r="Z45" s="3" t="inlineStr">
        <is>
          <t>50 Mbps at 56 &gt; 100 Mbps at 30</t>
        </is>
      </c>
      <c r="AA45" s="6" t="inlineStr">
        <is>
          <t>OUTSIDE_BAND - compared without converting currency</t>
        </is>
      </c>
    </row>
    <row r="46">
      <c r="A46" s="6" t="inlineStr">
        <is>
          <t>GB-BROADBAND_HFC-100-researched</t>
        </is>
      </c>
      <c r="B46" s="6" t="inlineStr">
        <is>
          <t>GB</t>
        </is>
      </c>
      <c r="C46" s="6" t="inlineStr">
        <is>
          <t>BROADBAND_HFC</t>
        </is>
      </c>
      <c r="D46" s="6" t="n">
        <v>100</v>
      </c>
      <c r="E46" s="14" t="inlineStr">
        <is>
          <t>Reject</t>
        </is>
      </c>
      <c r="F46" s="3" t="inlineStr">
        <is>
          <t>The Voom 200 price, filed at 100 Mbps as the closest available. GB HFC 200 already carries it.</t>
        </is>
      </c>
      <c r="G46" s="8" t="inlineStr">
        <is>
          <t>Reject</t>
        </is>
      </c>
      <c r="H46" s="9">
        <f>J46*0.75</f>
        <v>22.4625</v>
      </c>
      <c r="I46" s="9">
        <f>J46*1.25</f>
        <v>37.4375</v>
      </c>
      <c r="J46" s="10" t="n">
        <v>29.95</v>
      </c>
      <c r="K46" s="6" t="inlineStr">
        <is>
          <t>GBP</t>
        </is>
      </c>
      <c r="L46" s="10" t="n">
        <v>40.13</v>
      </c>
      <c r="M46" s="10" t="n">
        <v>80</v>
      </c>
      <c r="N46" s="31">
        <f>IF(OR(L46="",M46=""),"",L46/M46)</f>
        <v>0.501625</v>
      </c>
      <c r="O46" s="6" t="inlineStr">
        <is>
          <t>SEED</t>
        </is>
      </c>
      <c r="P46" s="6" t="inlineStr">
        <is>
          <t>mis tiered</t>
        </is>
      </c>
      <c r="Q46" s="3" t="inlineStr">
        <is>
          <t>BROADBAND_HFC 100Mbps MRC</t>
        </is>
      </c>
      <c r="R46" s="6" t="inlineStr">
        <is>
          <t>Amvia (citing Virgin Media Business); AGGREGATOR/SNIPPET_ONLY</t>
        </is>
      </c>
      <c r="S46" s="3" t="inlineStr">
        <is>
          <t>Virgin Media Business £29.95/mo ex VAT (Voom 200) 24 months</t>
        </is>
      </c>
      <c r="T46" s="6" t="inlineStr">
        <is>
          <t>https://amvia.co.uk/compare/business-broadband</t>
        </is>
      </c>
      <c r="U46" s="6" t="inlineStr">
        <is>
          <t>2025</t>
        </is>
      </c>
      <c r="V46" s="6" t="inlineStr">
        <is>
          <t>siemens</t>
        </is>
      </c>
      <c r="W46" s="32" t="n">
        <v>-200926.0855755058</v>
      </c>
      <c r="X46" s="6" t="n">
        <v>464</v>
      </c>
      <c r="Y46" s="3" t="inlineStr">
        <is>
          <t>saint-gobain -174,237; nhs-england -7,802; network-rail -7,368</t>
        </is>
      </c>
      <c r="Z46" s="3" t="inlineStr">
        <is>
          <t>50 Mbps at 65 &gt; 100 Mbps at 40</t>
        </is>
      </c>
      <c r="AA46" s="6" t="inlineStr">
        <is>
          <t>OUTSIDE_BAND - compared without converting currency</t>
        </is>
      </c>
    </row>
    <row r="47">
      <c r="A47" s="6" t="inlineStr">
        <is>
          <t>GB-BROADBAND_HFC-500-researched</t>
        </is>
      </c>
      <c r="B47" s="6" t="inlineStr">
        <is>
          <t>GB</t>
        </is>
      </c>
      <c r="C47" s="6" t="inlineStr">
        <is>
          <t>BROADBAND_HFC</t>
        </is>
      </c>
      <c r="D47" s="6" t="n">
        <v>500</v>
      </c>
      <c r="E47" s="14" t="inlineStr">
        <is>
          <t>Reject</t>
        </is>
      </c>
      <c r="F47" s="3" t="inlineStr">
        <is>
          <t>BT Business Full Fibre 500 at GBP 55 is a fibre (PON) tariff filed under cable (HFC). Virgin's cable range has no 500 tier.</t>
        </is>
      </c>
      <c r="G47" s="8" t="inlineStr">
        <is>
          <t>Reject</t>
        </is>
      </c>
      <c r="H47" s="9">
        <f>J47*0.75</f>
        <v>41.25</v>
      </c>
      <c r="I47" s="9">
        <f>J47*1.25</f>
        <v>68.75</v>
      </c>
      <c r="J47" s="10" t="n">
        <v>55</v>
      </c>
      <c r="K47" s="6" t="inlineStr">
        <is>
          <t>GBP</t>
        </is>
      </c>
      <c r="L47" s="10" t="n">
        <v>73.7</v>
      </c>
      <c r="M47" s="10" t="n">
        <v>140</v>
      </c>
      <c r="N47" s="31">
        <f>IF(OR(L47="",M47=""),"",L47/M47)</f>
        <v>0.526428571428571</v>
      </c>
      <c r="O47" s="6" t="inlineStr">
        <is>
          <t>SEED</t>
        </is>
      </c>
      <c r="P47" s="6" t="inlineStr">
        <is>
          <t>mis filed</t>
        </is>
      </c>
      <c r="Q47" s="3" t="inlineStr">
        <is>
          <t>BT Business Full Fibre 500</t>
        </is>
      </c>
      <c r="R47" s="6" t="inlineStr">
        <is>
          <t>BT Business; COMPANY_PUBLISHED/FULL_PAGE</t>
        </is>
      </c>
      <c r="S47" s="3" t="inlineStr">
        <is>
          <t>Full Fibre 500 recorded at £55/month in May 2026; this is a PON product, not HFC.</t>
        </is>
      </c>
      <c r="T47" s="6" t="inlineStr">
        <is>
          <t>https://business.bt.com/products/broadband-and-internet/deals/</t>
        </is>
      </c>
      <c r="U47" s="6" t="inlineStr">
        <is>
          <t>2026-05</t>
        </is>
      </c>
      <c r="V47" s="6" t="inlineStr">
        <is>
          <t>saint-gobain</t>
        </is>
      </c>
      <c r="W47" s="32" t="n">
        <v>-3536823.583635779</v>
      </c>
      <c r="X47" s="6" t="n">
        <v>7780</v>
      </c>
      <c r="Y47" s="3" t="inlineStr">
        <is>
          <t>tesco -1,379,805; mcdonalds -1,086,250; boots -775,961</t>
        </is>
      </c>
      <c r="Z47" s="3" t="inlineStr">
        <is>
          <t>250 Mbps at 108 &gt; 500 Mbps at 74</t>
        </is>
      </c>
      <c r="AA47" s="6" t="inlineStr">
        <is>
          <t>WITHIN_BAND - compared without converting currency</t>
        </is>
      </c>
    </row>
    <row r="48">
      <c r="A48" s="6" t="inlineStr">
        <is>
          <t>GB-BROADBAND_PON-1000-researched</t>
        </is>
      </c>
      <c r="B48" s="6" t="inlineStr">
        <is>
          <t>GB</t>
        </is>
      </c>
      <c r="C48" s="6" t="inlineStr">
        <is>
          <t>BROADBAND_PON</t>
        </is>
      </c>
      <c r="D48" s="6" t="n">
        <v>1000</v>
      </c>
      <c r="E48" s="14" t="inlineStr">
        <is>
          <t>Reject</t>
        </is>
      </c>
      <c r="F48" s="3" t="inlineStr">
        <is>
          <t>Openreach GEA-FTTP wholesale. Retail ISPs add margin, VAT and equipment.</t>
        </is>
      </c>
      <c r="G48" s="8" t="inlineStr">
        <is>
          <t>Reject</t>
        </is>
      </c>
      <c r="H48" s="9">
        <f>J48*0.75</f>
        <v>29.325</v>
      </c>
      <c r="I48" s="9">
        <f>J48*1.25</f>
        <v>48.875</v>
      </c>
      <c r="J48" s="10" t="n">
        <v>39.1</v>
      </c>
      <c r="K48" s="6" t="inlineStr">
        <is>
          <t>GBP</t>
        </is>
      </c>
      <c r="L48" s="10" t="n">
        <v>52.39</v>
      </c>
      <c r="M48" s="10" t="n">
        <v>155</v>
      </c>
      <c r="N48" s="31">
        <f>IF(OR(L48="",M48=""),"",L48/M48)</f>
        <v>0.338</v>
      </c>
      <c r="O48" s="6" t="inlineStr">
        <is>
          <t>SEED</t>
        </is>
      </c>
      <c r="P48" s="6" t="inlineStr">
        <is>
          <t>wholesale</t>
        </is>
      </c>
      <c r="Q48" s="3" t="inlineStr">
        <is>
          <t>BROADBAND_PON 1000 Mbps wholesale MRC (Openreach GEA-FTTP, asymmetric)</t>
        </is>
      </c>
      <c r="R48" s="6" t="inlineStr">
        <is>
          <t>thinkbroadband.com; TRADE_PRESS/SNIPPET_ONLY</t>
        </is>
      </c>
      <c r="S48" s="3" t="inlineStr">
        <is>
          <t>The more common 1000 Mbps download and 115 Mbps upload service is a lot cheaper at £39.10 a month</t>
        </is>
      </c>
      <c r="T48" s="6" t="inlineStr">
        <is>
          <t>https://www.thinkbroadband.com/news/openreach-reduces-the-price-of-one-of-its-gigabit-fttp-services</t>
        </is>
      </c>
      <c r="U48" s="6" t="inlineStr">
        <is>
          <t>2025</t>
        </is>
      </c>
      <c r="V48" s="6" t="inlineStr">
        <is>
          <t>tesco</t>
        </is>
      </c>
      <c r="W48" s="32" t="n">
        <v>-28389.02</v>
      </c>
      <c r="X48" s="6" t="n">
        <v>39</v>
      </c>
      <c r="Y48" s="3" t="inlineStr">
        <is>
          <t>saint-gobain -13,831; unilever -8,007; siemens -6,551</t>
        </is>
      </c>
      <c r="Z48" s="3" t="inlineStr">
        <is>
          <t>500 Mbps at 120 &gt; 1000 Mbps at 52</t>
        </is>
      </c>
      <c r="AA48" s="6" t="inlineStr">
        <is>
          <t>OUTSIDE_BAND - compared without converting currency</t>
        </is>
      </c>
    </row>
    <row r="49">
      <c r="A49" s="6" t="inlineStr">
        <is>
          <t>GB-DIA-50-researched</t>
        </is>
      </c>
      <c r="B49" s="6" t="inlineStr">
        <is>
          <t>GB</t>
        </is>
      </c>
      <c r="C49" s="6" t="inlineStr">
        <is>
          <t>DIA</t>
        </is>
      </c>
      <c r="D49" s="6" t="n">
        <v>50</v>
      </c>
      <c r="E49" s="14" t="inlineStr">
        <is>
          <t>Reject</t>
        </is>
      </c>
      <c r="F49" s="3" t="inlineStr">
        <is>
          <t>Cambridge Fibre, a regional altnet on a 60-month term. The research itself says it is not a national benchmark.</t>
        </is>
      </c>
      <c r="G49" s="8" t="inlineStr">
        <is>
          <t>Reject</t>
        </is>
      </c>
      <c r="H49" s="9">
        <f>J49*0.75</f>
        <v>89.25</v>
      </c>
      <c r="I49" s="9">
        <f>J49*1.25</f>
        <v>148.75</v>
      </c>
      <c r="J49" s="10" t="n">
        <v>119</v>
      </c>
      <c r="K49" s="6" t="inlineStr">
        <is>
          <t>GBP</t>
        </is>
      </c>
      <c r="L49" s="10" t="n">
        <v>159.45</v>
      </c>
      <c r="M49" s="10" t="n"/>
      <c r="N49" s="31" t="str">
        <f>IF(OR(L49="",M49=""),"",L49/M49)</f>
        <v/>
      </c>
      <c r="O49" s="6" t="inlineStr">
        <is>
          <t>none - new tier</t>
        </is>
      </c>
      <c r="P49" s="6" t="inlineStr">
        <is>
          <t>regional</t>
        </is>
      </c>
      <c r="Q49" s="3" t="inlineStr">
        <is>
          <t>DIA 50Mbps MRC</t>
        </is>
      </c>
      <c r="R49" s="6" t="inlineStr">
        <is>
          <t>Cambridge Fibre; COMPANY_PUBLISHED/SNIPPET_ONLY</t>
        </is>
      </c>
      <c r="S49" s="3" t="inlineStr">
        <is>
          <t>Dedicated Internet 50 Mbps — £119 / month — 60 months</t>
        </is>
      </c>
      <c r="T49" s="6" t="inlineStr">
        <is>
          <t>https://www.cambridgefibre.uk/business-dedicated-internet-access</t>
        </is>
      </c>
      <c r="U49" s="6" t="inlineStr">
        <is>
          <t>2026</t>
        </is>
      </c>
      <c r="V49" s="6" t="inlineStr">
        <is>
          <t>network-rail</t>
        </is>
      </c>
      <c r="W49" s="32" t="n">
        <v>0</v>
      </c>
      <c r="X49" s="6" t="n">
        <v>0</v>
      </c>
      <c r="Y49" s="3" t="inlineStr"/>
      <c r="Z49" s="3" t="inlineStr">
        <is>
          <t>no</t>
        </is>
      </c>
      <c r="AA49" s="6" t="inlineStr">
        <is>
          <t>NO_BENCHMARK_AT_BANDWIDTH - compared without converting currency</t>
        </is>
      </c>
    </row>
    <row r="50">
      <c r="A50" s="6" t="inlineStr">
        <is>
          <t>GB-DIA-1000-researched</t>
        </is>
      </c>
      <c r="B50" s="6" t="inlineStr">
        <is>
          <t>GB</t>
        </is>
      </c>
      <c r="C50" s="6" t="inlineStr">
        <is>
          <t>DIA</t>
        </is>
      </c>
      <c r="D50" s="6" t="n">
        <v>1000</v>
      </c>
      <c r="E50" s="13" t="inlineStr">
        <is>
          <t>Hold</t>
        </is>
      </c>
      <c r="F50" s="3" t="inlineStr">
        <is>
          <t>CompareNet publishes a 1 Gbps symmetric leased-line floor of £195/month. Hold—not reject—because it is an aggregator 'from' price below the broader market range and needs address/term validation.</t>
        </is>
      </c>
      <c r="G50" s="8" t="inlineStr">
        <is>
          <t>Hold</t>
        </is>
      </c>
      <c r="H50" s="9">
        <f>J50*0.75</f>
        <v>146.25</v>
      </c>
      <c r="I50" s="9">
        <f>J50*1.25</f>
        <v>243.75</v>
      </c>
      <c r="J50" s="10" t="n">
        <v>195</v>
      </c>
      <c r="K50" s="6" t="inlineStr">
        <is>
          <t>GBP</t>
        </is>
      </c>
      <c r="L50" s="10" t="n">
        <v>261.29</v>
      </c>
      <c r="M50" s="10" t="n">
        <v>737</v>
      </c>
      <c r="N50" s="31">
        <f>IF(OR(L50="",M50=""),"",L50/M50)</f>
        <v>0.354531886024423</v>
      </c>
      <c r="O50" s="6" t="inlineStr">
        <is>
          <t>SEED</t>
        </is>
      </c>
      <c r="P50" s="6" t="inlineStr">
        <is>
          <t>aggregator floor</t>
        </is>
      </c>
      <c r="Q50" s="3" t="inlineStr">
        <is>
          <t>GB enterprise leased line (DIA) monthly cost — 1 Gbps enterprise</t>
        </is>
      </c>
      <c r="R50" s="6" t="inlineStr">
        <is>
          <t>CompareNetUK; AGGREGATOR/FULL_PAGE</t>
        </is>
      </c>
      <c r="S50" s="3" t="inlineStr">
        <is>
          <t>1 Gbps symmetric leased line from £195/month; final price depends on location and term.</t>
        </is>
      </c>
      <c r="T50" s="6" t="inlineStr">
        <is>
          <t>https://comparenet.co.uk/dedicated-fibre-leased-lines</t>
        </is>
      </c>
      <c r="U50" s="6" t="inlineStr">
        <is>
          <t>2026-07</t>
        </is>
      </c>
      <c r="V50" s="6" t="inlineStr">
        <is>
          <t>iberdrola</t>
        </is>
      </c>
      <c r="W50" s="32" t="n">
        <v>-659380.2940418924</v>
      </c>
      <c r="X50" s="6" t="n">
        <v>133</v>
      </c>
      <c r="Y50" s="3" t="inlineStr">
        <is>
          <t>nhs-england -183,990; siemens -119,345; network-rail -119,345</t>
        </is>
      </c>
      <c r="Z50" s="3" t="inlineStr">
        <is>
          <t>500 Mbps at 690 &gt; 1000 Mbps at 261</t>
        </is>
      </c>
      <c r="AA50" s="6" t="inlineStr">
        <is>
          <t>OUTSIDE_BAND - compared without converting currency</t>
        </is>
      </c>
    </row>
    <row r="51">
      <c r="A51" s="6" t="inlineStr">
        <is>
          <t>GB-DIA-10000-researched</t>
        </is>
      </c>
      <c r="B51" s="6" t="inlineStr">
        <is>
          <t>GB</t>
        </is>
      </c>
      <c r="C51" s="6" t="inlineStr">
        <is>
          <t>DIA</t>
        </is>
      </c>
      <c r="D51" s="6" t="n">
        <v>10000</v>
      </c>
      <c r="E51" s="13" t="inlineStr">
        <is>
          <t>Hold</t>
        </is>
      </c>
      <c r="F51" s="3" t="inlineStr">
        <is>
          <t>Spitfire publishes 10 Gbps symmetric leased-line pricing from £450/month. Hold—not reject—because it is a single-carrier floor that needs location, term and installation-cost validation.</t>
        </is>
      </c>
      <c r="G51" s="8" t="inlineStr">
        <is>
          <t>Hold</t>
        </is>
      </c>
      <c r="H51" s="9">
        <f>J51*0.75</f>
        <v>337.5</v>
      </c>
      <c r="I51" s="9">
        <f>J51*1.25</f>
        <v>562.5</v>
      </c>
      <c r="J51" s="10" t="n">
        <v>450</v>
      </c>
      <c r="K51" s="6" t="inlineStr">
        <is>
          <t>GBP</t>
        </is>
      </c>
      <c r="L51" s="10" t="n">
        <v>602.97</v>
      </c>
      <c r="M51" s="10" t="n"/>
      <c r="N51" s="31" t="str">
        <f>IF(OR(L51="",M51=""),"",L51/M51)</f>
        <v/>
      </c>
      <c r="O51" s="6" t="inlineStr">
        <is>
          <t>none - new tier</t>
        </is>
      </c>
      <c r="P51" s="6" t="inlineStr">
        <is>
          <t>business retail floor</t>
        </is>
      </c>
      <c r="Q51" s="3" t="inlineStr">
        <is>
          <t>DIA 10000Mbps MRC (Spitfire, retail)</t>
        </is>
      </c>
      <c r="R51" s="6" t="inlineStr">
        <is>
          <t>Spitfire Networks; COMPANY_PUBLISHED/FULL_PAGE</t>
        </is>
      </c>
      <c r="S51" s="3" t="inlineStr">
        <is>
          <t>10 Gbps symmetric leased line from £450/month; availability and final price are site-specific.</t>
        </is>
      </c>
      <c r="T51" s="6" t="inlineStr">
        <is>
          <t>https://www.spitfire.co.uk/connectivity/fibre-ethernet-leased-line/</t>
        </is>
      </c>
      <c r="U51" s="6" t="inlineStr">
        <is>
          <t>2026-10</t>
        </is>
      </c>
      <c r="V51" s="6" t="inlineStr">
        <is>
          <t>deutsche-post-dhl</t>
        </is>
      </c>
      <c r="W51" s="32" t="n">
        <v>0</v>
      </c>
      <c r="X51" s="6" t="n">
        <v>0</v>
      </c>
      <c r="Y51" s="3" t="inlineStr"/>
      <c r="Z51" s="3" t="inlineStr">
        <is>
          <t>1000 Mbps at 737 &gt; 10000 Mbps at 603</t>
        </is>
      </c>
      <c r="AA51" s="6" t="inlineStr">
        <is>
          <t>NO_BENCHMARK_AT_BANDWIDTH - compared without converting currency</t>
        </is>
      </c>
    </row>
    <row r="52">
      <c r="A52" s="6" t="inlineStr">
        <is>
          <t>GB-ETHERNET-100-researched</t>
        </is>
      </c>
      <c r="B52" s="6" t="inlineStr">
        <is>
          <t>GB</t>
        </is>
      </c>
      <c r="C52" s="6" t="inlineStr">
        <is>
          <t>ETHERNET</t>
        </is>
      </c>
      <c r="D52" s="6" t="n">
        <v>100</v>
      </c>
      <c r="E52" s="14" t="inlineStr">
        <is>
          <t>Reject</t>
        </is>
      </c>
      <c r="F52" s="3" t="inlineStr">
        <is>
          <t>Openreach EAD wholesale rental. An enterprise buys Ethernet from a retailer at a margin over it.</t>
        </is>
      </c>
      <c r="G52" s="8" t="inlineStr">
        <is>
          <t>Reject</t>
        </is>
      </c>
      <c r="H52" s="9">
        <f>J52*0.75</f>
        <v>152.625</v>
      </c>
      <c r="I52" s="9">
        <f>J52*1.25</f>
        <v>254.375</v>
      </c>
      <c r="J52" s="10" t="n">
        <v>203.5</v>
      </c>
      <c r="K52" s="6" t="inlineStr">
        <is>
          <t>GBP</t>
        </is>
      </c>
      <c r="L52" s="10" t="n">
        <v>272.68</v>
      </c>
      <c r="M52" s="10" t="n"/>
      <c r="N52" s="31" t="str">
        <f>IF(OR(L52="",M52=""),"",L52/M52)</f>
        <v/>
      </c>
      <c r="O52" s="6" t="inlineStr">
        <is>
          <t>none - new tier</t>
        </is>
      </c>
      <c r="P52" s="6" t="inlineStr">
        <is>
          <t>wholesale</t>
        </is>
      </c>
      <c r="Q52" s="3" t="inlineStr">
        <is>
          <t>ETHERNET 100Mbps MRC – Openreach EAD wholesale Area 2</t>
        </is>
      </c>
      <c r="R52" s="6" t="inlineStr">
        <is>
          <t>Openreach; PRIMARY_FILING/FULL_PAGE</t>
        </is>
      </c>
      <c r="S52" s="3" t="inlineStr">
        <is>
          <t>EAD 100 - Area 2 | 01/07/2026 | Annual Rental £ Exc VAT 2,442.00</t>
        </is>
      </c>
      <c r="T52" s="6" t="inlineStr">
        <is>
          <t>https://www.openreach.co.uk/orpg/home/products/pricing/loadProductPriceDetails.do?data=0d0zetWgShsjqKWjcN2Y5WJA8BGGqsBLxL7IgSM4fRpZ6rNZujnCs99NbIKJZPD9hXYmiijxH6wrCQm97GZMyQ%3D%3D</t>
        </is>
      </c>
      <c r="U52" s="6" t="inlineStr">
        <is>
          <t>2026-07</t>
        </is>
      </c>
      <c r="V52" s="6" t="inlineStr">
        <is>
          <t>nhs-england</t>
        </is>
      </c>
      <c r="W52" s="32" t="n">
        <v>0</v>
      </c>
      <c r="X52" s="6" t="n">
        <v>0</v>
      </c>
      <c r="Y52" s="3" t="inlineStr"/>
      <c r="Z52" s="3" t="inlineStr">
        <is>
          <t>no</t>
        </is>
      </c>
      <c r="AA52" s="6" t="inlineStr">
        <is>
          <t>NO_BENCHMARK_AT_BANDWIDTH - compared without converting currency</t>
        </is>
      </c>
    </row>
    <row r="53">
      <c r="A53" s="6" t="inlineStr">
        <is>
          <t>GB-ETHERNET-1000-researched</t>
        </is>
      </c>
      <c r="B53" s="6" t="inlineStr">
        <is>
          <t>GB</t>
        </is>
      </c>
      <c r="C53" s="6" t="inlineStr">
        <is>
          <t>ETHERNET</t>
        </is>
      </c>
      <c r="D53" s="6" t="n">
        <v>1000</v>
      </c>
      <c r="E53" s="14" t="inlineStr">
        <is>
          <t>Reject</t>
        </is>
      </c>
      <c r="F53" s="3" t="inlineStr">
        <is>
          <t>Openreach EAD wholesale rental. An enterprise buys Ethernet from a retailer at a margin over it.</t>
        </is>
      </c>
      <c r="G53" s="8" t="inlineStr">
        <is>
          <t>Reject</t>
        </is>
      </c>
      <c r="H53" s="9">
        <f>J53*0.75</f>
        <v>147.375</v>
      </c>
      <c r="I53" s="9">
        <f>J53*1.25</f>
        <v>245.625</v>
      </c>
      <c r="J53" s="10" t="n">
        <v>196.5</v>
      </c>
      <c r="K53" s="6" t="inlineStr">
        <is>
          <t>GBP</t>
        </is>
      </c>
      <c r="L53" s="10" t="n">
        <v>263.3</v>
      </c>
      <c r="M53" s="10" t="n">
        <v>737</v>
      </c>
      <c r="N53" s="31">
        <f>IF(OR(L53="",M53=""),"",L53/M53)</f>
        <v>0.357259158751696</v>
      </c>
      <c r="O53" s="6" t="inlineStr">
        <is>
          <t>SEED</t>
        </is>
      </c>
      <c r="P53" s="6" t="inlineStr">
        <is>
          <t>wholesale</t>
        </is>
      </c>
      <c r="Q53" s="3" t="inlineStr">
        <is>
          <t>ETHERNET 1000Mbps MRC</t>
        </is>
      </c>
      <c r="R53" s="6" t="inlineStr">
        <is>
          <t>Openreach; REGULATOR/FULL_PAGE</t>
        </is>
      </c>
      <c r="S53" s="3" t="inlineStr">
        <is>
          <t>EAD 1000 - CLA annual rental £2,442 exc VAT (01/07/2026); divided by 12 = £203.50/month</t>
        </is>
      </c>
      <c r="T53" s="6" t="inlineStr">
        <is>
          <t>https://www.openreach.co.uk/orpg/home/products/pricing/loadProductPriceDetails.do?data=0d0zetWgShsjqKWjcN2Y5WJA8BGGqsBLxL7IgSM4fRpZ6rNZujnCs99NbIKJZPD9hXYmiijxH6wrCQm97GZMyQ%3D%3D</t>
        </is>
      </c>
      <c r="U53" s="6" t="inlineStr">
        <is>
          <t>2026-07</t>
        </is>
      </c>
      <c r="V53" s="6" t="inlineStr">
        <is>
          <t>santander</t>
        </is>
      </c>
      <c r="W53" s="32" t="n">
        <v>-2777012.718631203</v>
      </c>
      <c r="X53" s="6" t="n">
        <v>550</v>
      </c>
      <c r="Y53" s="3" t="inlineStr">
        <is>
          <t>nhs-england -1,312,365; saint-gobain -281,152; royal-mail -191,733</t>
        </is>
      </c>
      <c r="Z53" s="3" t="inlineStr">
        <is>
          <t>500 Mbps at 569 &gt; 1000 Mbps at 263</t>
        </is>
      </c>
      <c r="AA53" s="6" t="inlineStr">
        <is>
          <t>OUTSIDE_BAND - compared without converting currency</t>
        </is>
      </c>
    </row>
    <row r="54">
      <c r="A54" s="6" t="inlineStr">
        <is>
          <t>GB-ETHERNET-10000-researched</t>
        </is>
      </c>
      <c r="B54" s="6" t="inlineStr">
        <is>
          <t>GB</t>
        </is>
      </c>
      <c r="C54" s="6" t="inlineStr">
        <is>
          <t>ETHERNET</t>
        </is>
      </c>
      <c r="D54" s="6" t="n">
        <v>10000</v>
      </c>
      <c r="E54" s="14" t="inlineStr">
        <is>
          <t>Reject</t>
        </is>
      </c>
      <c r="F54" s="3" t="inlineStr">
        <is>
          <t>Openreach EAD wholesale rental. An enterprise buys Ethernet from a retailer at a margin over it.</t>
        </is>
      </c>
      <c r="G54" s="8" t="inlineStr">
        <is>
          <t>Reject</t>
        </is>
      </c>
      <c r="H54" s="9">
        <f>J54*0.75</f>
        <v>311.25</v>
      </c>
      <c r="I54" s="9">
        <f>J54*1.25</f>
        <v>518.75</v>
      </c>
      <c r="J54" s="10" t="n">
        <v>415</v>
      </c>
      <c r="K54" s="6" t="inlineStr">
        <is>
          <t>GBP</t>
        </is>
      </c>
      <c r="L54" s="10" t="n">
        <v>556.08</v>
      </c>
      <c r="M54" s="10" t="n">
        <v>2881</v>
      </c>
      <c r="N54" s="31">
        <f>IF(OR(L54="",M54=""),"",L54/M54)</f>
        <v>0.193016313779938</v>
      </c>
      <c r="O54" s="6" t="inlineStr">
        <is>
          <t>SEED</t>
        </is>
      </c>
      <c r="P54" s="6" t="inlineStr">
        <is>
          <t>wholesale</t>
        </is>
      </c>
      <c r="Q54" s="3" t="inlineStr">
        <is>
          <t>ETHERNET 10000Mbps MRC – Openreach EAD wholesale Area 2</t>
        </is>
      </c>
      <c r="R54" s="6" t="inlineStr">
        <is>
          <t>Openreach; PRIMARY_FILING/FULL_PAGE</t>
        </is>
      </c>
      <c r="S54" s="3" t="inlineStr">
        <is>
          <t>EAD 10000 - Area 2 | 01/07/2026 | Annual Rental £ Exc VAT 4,980.00</t>
        </is>
      </c>
      <c r="T54" s="6" t="inlineStr">
        <is>
          <t>https://www.openreach.co.uk/orpg/home/products/pricing/loadProductPriceDetails.do?data=0d0zetWgShsjqKWjcN2Y5WJA8BGGqsBLxL7IgSM4fRpZ6rNZujnCs99NbIKJZPD9hXYmiijxH6wrCQm97GZMyQ%3D%3D</t>
        </is>
      </c>
      <c r="U54" s="6" t="inlineStr">
        <is>
          <t>2026-07</t>
        </is>
      </c>
      <c r="V54" s="6" t="inlineStr">
        <is>
          <t>nhs-england</t>
        </is>
      </c>
      <c r="W54" s="32" t="n">
        <v>-1352116.562784881</v>
      </c>
      <c r="X54" s="6" t="n">
        <v>572</v>
      </c>
      <c r="Y54" s="3" t="inlineStr">
        <is>
          <t>network-rail -497,440; nhs-england -492,773; saint-gobain -79,161</t>
        </is>
      </c>
      <c r="Z54" s="3" t="inlineStr">
        <is>
          <t>9000 Mbps at 2707 &gt; 10000 Mbps at 556</t>
        </is>
      </c>
      <c r="AA54" s="6" t="inlineStr">
        <is>
          <t>OUTSIDE_BAND - compared without converting currency</t>
        </is>
      </c>
    </row>
    <row r="55">
      <c r="A55" s="6" t="inlineStr">
        <is>
          <t>GB-MPLS-100-researched</t>
        </is>
      </c>
      <c r="B55" s="6" t="inlineStr">
        <is>
          <t>GB</t>
        </is>
      </c>
      <c r="C55" s="6" t="inlineStr">
        <is>
          <t>MPLS</t>
        </is>
      </c>
      <c r="D55" s="6" t="n">
        <v>100</v>
      </c>
      <c r="E55" s="14" t="inlineStr">
        <is>
          <t>Reject</t>
        </is>
      </c>
      <c r="F55" s="3" t="inlineStr">
        <is>
          <t>The figure does not appear in the research that produced it.</t>
        </is>
      </c>
      <c r="G55" s="8" t="inlineStr">
        <is>
          <t>Reject</t>
        </is>
      </c>
      <c r="H55" s="9">
        <f>J55*0.75</f>
        <v>150</v>
      </c>
      <c r="I55" s="9">
        <f>J55*1.25</f>
        <v>250</v>
      </c>
      <c r="J55" s="10" t="n">
        <v>200</v>
      </c>
      <c r="K55" s="6" t="inlineStr">
        <is>
          <t>GBP</t>
        </is>
      </c>
      <c r="L55" s="10" t="n">
        <v>267.99</v>
      </c>
      <c r="M55" s="10" t="n">
        <v>1000</v>
      </c>
      <c r="N55" s="31">
        <f>IF(OR(L55="",M55=""),"",L55/M55)</f>
        <v>0.26799</v>
      </c>
      <c r="O55" s="6" t="inlineStr">
        <is>
          <t>SEED</t>
        </is>
      </c>
      <c r="P55" s="6" t="inlineStr">
        <is>
          <t>untraceable</t>
        </is>
      </c>
      <c r="Q55" s="3" t="inlineStr">
        <is>
          <t>Market unit prices for enterprise WAN/Internet connectivity — ES (Spain) and GB (United Kingdom) — for Iberdrola S.A. and its UK subsidiary ScottishPower / SP E</t>
        </is>
      </c>
      <c r="R55" s="6" t="inlineStr">
        <is>
          <t>run narrative (its disposition was replaced by a rerun)</t>
        </is>
      </c>
      <c r="S55" s="3" t="inlineStr">
        <is>
          <t>the figure does not appear in the run's narrative</t>
        </is>
      </c>
      <c r="T55" s="6" t="inlineStr"/>
      <c r="U55" s="6" t="inlineStr">
        <is>
          <t>2026</t>
        </is>
      </c>
      <c r="V55" s="6" t="inlineStr">
        <is>
          <t>iberdrola</t>
        </is>
      </c>
      <c r="W55" s="32" t="n">
        <v>0</v>
      </c>
      <c r="X55" s="6" t="n">
        <v>0</v>
      </c>
      <c r="Y55" s="3" t="inlineStr"/>
      <c r="Z55" s="3" t="inlineStr">
        <is>
          <t>no</t>
        </is>
      </c>
      <c r="AA55" s="6" t="inlineStr">
        <is>
          <t>OUTSIDE_BAND - compared without converting currency</t>
        </is>
      </c>
    </row>
    <row r="56">
      <c r="A56" s="6" t="inlineStr">
        <is>
          <t>IE-BROADBAND_PON-1000-researched</t>
        </is>
      </c>
      <c r="B56" s="6" t="inlineStr">
        <is>
          <t>IE</t>
        </is>
      </c>
      <c r="C56" s="6" t="inlineStr">
        <is>
          <t>BROADBAND_PON</t>
        </is>
      </c>
      <c r="D56" s="6" t="n">
        <v>1000</v>
      </c>
      <c r="E56" s="14" t="inlineStr">
        <is>
          <t>Reject</t>
        </is>
      </c>
      <c r="F56" s="3" t="inlineStr">
        <is>
          <t>Eir's EUR 49.99 is a 24-month introductory price; the standard rate is EUR 69.99. Re-promote at that.</t>
        </is>
      </c>
      <c r="G56" s="8" t="inlineStr">
        <is>
          <t>Reject</t>
        </is>
      </c>
      <c r="H56" s="9">
        <f>J56*0.75</f>
        <v>37.4925</v>
      </c>
      <c r="I56" s="9">
        <f>J56*1.25</f>
        <v>62.4875</v>
      </c>
      <c r="J56" s="10" t="n">
        <v>49.99</v>
      </c>
      <c r="K56" s="6" t="inlineStr">
        <is>
          <t>EUR</t>
        </is>
      </c>
      <c r="L56" s="10" t="n">
        <v>57.39</v>
      </c>
      <c r="M56" s="10" t="n">
        <v>155</v>
      </c>
      <c r="N56" s="31">
        <f>IF(OR(L56="",M56=""),"",L56/M56)</f>
        <v>0.370258064516129</v>
      </c>
      <c r="O56" s="6" t="inlineStr">
        <is>
          <t>SEED</t>
        </is>
      </c>
      <c r="P56" s="6" t="inlineStr">
        <is>
          <t>introductory</t>
        </is>
      </c>
      <c r="Q56" s="3" t="inlineStr">
        <is>
          <t>IE business broadband – Eir SMB monthly price (gigabit FTTP)</t>
        </is>
      </c>
      <c r="R56" s="6" t="inlineStr">
        <is>
          <t>eir.ie; COMPANY_PUBLISHED/SNIPPET_ONLY</t>
        </is>
      </c>
      <c r="S56" s="3" t="inlineStr">
        <is>
          <t>€49.99 a month for 24 months. €69.99 a month thereafter.</t>
        </is>
      </c>
      <c r="T56" s="6" t="inlineStr">
        <is>
          <t>https://www.eir.ie/business/smb/business-broadband/</t>
        </is>
      </c>
      <c r="U56" s="6" t="inlineStr">
        <is>
          <t>2026</t>
        </is>
      </c>
      <c r="V56" s="6" t="inlineStr">
        <is>
          <t>tesco</t>
        </is>
      </c>
      <c r="W56" s="32" t="n">
        <v>-3152.93556125</v>
      </c>
      <c r="X56" s="6" t="n">
        <v>3</v>
      </c>
      <c r="Y56" s="3" t="inlineStr">
        <is>
          <t>novartis -3,153</t>
        </is>
      </c>
      <c r="Z56" s="3" t="inlineStr">
        <is>
          <t>500 Mbps at 120 &gt; 1000 Mbps at 57</t>
        </is>
      </c>
      <c r="AA56" s="6" t="inlineStr">
        <is>
          <t>OUTSIDE_BAND - compared without converting currency</t>
        </is>
      </c>
    </row>
    <row r="57">
      <c r="A57" s="6" t="inlineStr">
        <is>
          <t>IT-ETHERNET-100-researched</t>
        </is>
      </c>
      <c r="B57" s="6" t="inlineStr">
        <is>
          <t>IT</t>
        </is>
      </c>
      <c r="C57" s="6" t="inlineStr">
        <is>
          <t>ETHERNET</t>
        </is>
      </c>
      <c r="D57" s="6" t="n">
        <v>100</v>
      </c>
      <c r="E57" s="14" t="inlineStr">
        <is>
          <t>Reject</t>
        </is>
      </c>
      <c r="F57" s="3" t="inlineStr">
        <is>
          <t>Dated 2015, and the figure cannot be traced in the research that produced it.</t>
        </is>
      </c>
      <c r="G57" s="8" t="inlineStr">
        <is>
          <t>Reject</t>
        </is>
      </c>
      <c r="H57" s="9">
        <f>J57*0.75</f>
        <v>2336.25</v>
      </c>
      <c r="I57" s="9">
        <f>J57*1.25</f>
        <v>3893.75</v>
      </c>
      <c r="J57" s="10" t="n">
        <v>3115</v>
      </c>
      <c r="K57" s="6" t="inlineStr">
        <is>
          <t>EUR</t>
        </is>
      </c>
      <c r="L57" s="10" t="n">
        <v>3575.94</v>
      </c>
      <c r="M57" s="10" t="n"/>
      <c r="N57" s="31" t="str">
        <f>IF(OR(L57="",M57=""),"",L57/M57)</f>
        <v/>
      </c>
      <c r="O57" s="6" t="inlineStr">
        <is>
          <t>none - new tier</t>
        </is>
      </c>
      <c r="P57" s="6" t="inlineStr">
        <is>
          <t>untraceable</t>
        </is>
      </c>
      <c r="Q57" s="3" t="inlineStr">
        <is>
          <t>Allianz SE — Market unit prices for enterprise WAN/Internet connectivity: DE, FR, IT (2026)</t>
        </is>
      </c>
      <c r="R57" s="6" t="inlineStr">
        <is>
          <t>run narrative (its disposition was replaced by a rerun)</t>
        </is>
      </c>
      <c r="S57" s="3" t="inlineStr">
        <is>
          <t>the figure does not appear in the run's narrative</t>
        </is>
      </c>
      <c r="T57" s="6" t="inlineStr"/>
      <c r="U57" s="6" t="inlineStr">
        <is>
          <t>2015</t>
        </is>
      </c>
      <c r="V57" s="6" t="inlineStr">
        <is>
          <t>allianz</t>
        </is>
      </c>
      <c r="W57" s="32" t="n">
        <v>0</v>
      </c>
      <c r="X57" s="6" t="n">
        <v>0</v>
      </c>
      <c r="Y57" s="3" t="inlineStr"/>
      <c r="Z57" s="3" t="inlineStr">
        <is>
          <t>100 Mbps at 3576 &gt; 500 Mbps at 956</t>
        </is>
      </c>
      <c r="AA57" s="6" t="inlineStr">
        <is>
          <t>NO_BENCHMARK_AT_BANDWIDTH - compared without converting currency</t>
        </is>
      </c>
    </row>
    <row r="58">
      <c r="A58" s="6" t="inlineStr">
        <is>
          <t>NL-BROADBAND_PON-100-researched</t>
        </is>
      </c>
      <c r="B58" s="6" t="inlineStr">
        <is>
          <t>NL</t>
        </is>
      </c>
      <c r="C58" s="6" t="inlineStr">
        <is>
          <t>BROADBAND_PON</t>
        </is>
      </c>
      <c r="D58" s="6" t="n">
        <v>100</v>
      </c>
      <c r="E58" s="14" t="inlineStr">
        <is>
          <t>Reject</t>
        </is>
      </c>
      <c r="F58" s="3" t="inlineStr">
        <is>
          <t>Eurostat's lowest advertised consumer price, PPP-adjusted, not a business tariff.</t>
        </is>
      </c>
      <c r="G58" s="8" t="inlineStr">
        <is>
          <t>Reject</t>
        </is>
      </c>
      <c r="H58" s="9">
        <f>J58*0.75</f>
        <v>17.5425</v>
      </c>
      <c r="I58" s="9">
        <f>J58*1.25</f>
        <v>29.2375</v>
      </c>
      <c r="J58" s="10" t="n">
        <v>23.39</v>
      </c>
      <c r="K58" s="6" t="inlineStr">
        <is>
          <t>EUR</t>
        </is>
      </c>
      <c r="L58" s="10" t="n">
        <v>26.85</v>
      </c>
      <c r="M58" s="10" t="n">
        <v>62</v>
      </c>
      <c r="N58" s="31">
        <f>IF(OR(L58="",M58=""),"",L58/M58)</f>
        <v>0.433064516129032</v>
      </c>
      <c r="O58" s="6" t="inlineStr">
        <is>
          <t>SEED</t>
        </is>
      </c>
      <c r="P58" s="6" t="inlineStr">
        <is>
          <t>consumer</t>
        </is>
      </c>
      <c r="Q58" s="3" t="inlineStr">
        <is>
          <t>BROADBAND_PON Netherlands lowest advertised standalone 30-100 Mbps (Eurostat/BEREC benchmark)</t>
        </is>
      </c>
      <c r="R58" s="6" t="inlineStr">
        <is>
          <t>Germanpedia / Eurostat; AGGREGATOR/SNIPPET_ONLY</t>
        </is>
      </c>
      <c r="S58" s="3" t="inlineStr">
        <is>
          <t>Netherlands | €37.86 | €23.39 | -38%</t>
        </is>
      </c>
      <c r="T58" s="6" t="inlineStr">
        <is>
          <t>https://germanpedia.com/broadband-prices-in-the-eu/</t>
        </is>
      </c>
      <c r="U58" s="6" t="inlineStr">
        <is>
          <t>2024</t>
        </is>
      </c>
      <c r="V58" s="6" t="inlineStr">
        <is>
          <t>air-france-klm</t>
        </is>
      </c>
      <c r="W58" s="32" t="n">
        <v>-2369.84292</v>
      </c>
      <c r="X58" s="6" t="n">
        <v>6</v>
      </c>
      <c r="Y58" s="3" t="inlineStr">
        <is>
          <t>shell -1,235; air-france-klm -1,135</t>
        </is>
      </c>
      <c r="Z58" s="3" t="inlineStr">
        <is>
          <t>50 Mbps at 53 &gt; 100 Mbps at 27</t>
        </is>
      </c>
      <c r="AA58" s="6" t="inlineStr">
        <is>
          <t>OUTSIDE_BAND - compared without converting currency</t>
        </is>
      </c>
    </row>
    <row r="59">
      <c r="A59" s="6" t="inlineStr">
        <is>
          <t>NZ-BROADBAND_PON-100-researched</t>
        </is>
      </c>
      <c r="B59" s="6" t="inlineStr">
        <is>
          <t>NZ</t>
        </is>
      </c>
      <c r="C59" s="6" t="inlineStr">
        <is>
          <t>BROADBAND_PON</t>
        </is>
      </c>
      <c r="D59" s="6" t="n">
        <v>100</v>
      </c>
      <c r="E59" s="14" t="inlineStr">
        <is>
          <t>Reject</t>
        </is>
      </c>
      <c r="F59" s="3" t="inlineStr">
        <is>
          <t>No NZD exchange rate exists, so approving it would make every New Zealand estimate refuse. The figure also cannot be traced in its research.</t>
        </is>
      </c>
      <c r="G59" s="8" t="inlineStr">
        <is>
          <t>Reject</t>
        </is>
      </c>
      <c r="H59" s="9">
        <f>J59*0.75</f>
        <v>28.5</v>
      </c>
      <c r="I59" s="9">
        <f>J59*1.25</f>
        <v>47.5</v>
      </c>
      <c r="J59" s="10" t="n">
        <v>38</v>
      </c>
      <c r="K59" s="6" t="inlineStr">
        <is>
          <t>NZD</t>
        </is>
      </c>
      <c r="L59" s="10" t="n"/>
      <c r="M59" s="10" t="n">
        <v>75</v>
      </c>
      <c r="N59" s="31" t="str">
        <f>IF(OR(L59="",M59=""),"",L59/M59)</f>
        <v/>
      </c>
      <c r="O59" s="6" t="inlineStr">
        <is>
          <t>SEED</t>
        </is>
      </c>
      <c r="P59" s="6" t="inlineStr">
        <is>
          <t>untraceable</t>
        </is>
      </c>
      <c r="Q59" s="3" t="inlineStr">
        <is>
          <t>Market unit prices for enterprise WAN/Internet connectivity — AU and NZ, price year 2026 (AUD base currency), for Woolworths Group Limited</t>
        </is>
      </c>
      <c r="R59" s="6" t="inlineStr">
        <is>
          <t>run narrative (its disposition was replaced by a rerun)</t>
        </is>
      </c>
      <c r="S59" s="3" t="inlineStr">
        <is>
          <t>the figure does not appear in the run's narrative</t>
        </is>
      </c>
      <c r="T59" s="6" t="inlineStr"/>
      <c r="U59" s="6" t="inlineStr">
        <is>
          <t>2025</t>
        </is>
      </c>
      <c r="V59" s="6" t="inlineStr">
        <is>
          <t>woolworths</t>
        </is>
      </c>
      <c r="W59" s="32" t="n">
        <v>0</v>
      </c>
      <c r="X59" s="6" t="n">
        <v>0</v>
      </c>
      <c r="Y59" s="3" t="inlineStr">
        <is>
          <t>; REFUSES for woolworths (no exchange rate)</t>
        </is>
      </c>
      <c r="Z59" s="3" t="inlineStr">
        <is>
          <t>no</t>
        </is>
      </c>
      <c r="AA59" s="6" t="inlineStr">
        <is>
          <t>OUTSIDE_BAND - compared without converting currency</t>
        </is>
      </c>
    </row>
    <row r="60">
      <c r="A60" s="6" t="inlineStr">
        <is>
          <t>US-ETHERNET-100000-researched</t>
        </is>
      </c>
      <c r="B60" s="6" t="inlineStr">
        <is>
          <t>US</t>
        </is>
      </c>
      <c r="C60" s="6" t="inlineStr">
        <is>
          <t>ETHERNET</t>
        </is>
      </c>
      <c r="D60" s="6" t="n">
        <v>100000</v>
      </c>
      <c r="E60" s="14" t="inlineStr">
        <is>
          <t>Reject</t>
        </is>
      </c>
      <c r="F60" s="3" t="inlineStr">
        <is>
          <t>A 100 Gbps wavelength between two points, not site access. At $2,050 it would undercut every Ethernet tier, so any circuit whose cheapest tier costs more would price as a 100 Gbps wave.</t>
        </is>
      </c>
      <c r="G60" s="8" t="inlineStr">
        <is>
          <t>Reject</t>
        </is>
      </c>
      <c r="H60" s="9">
        <f>J60*0.75</f>
        <v>1537.5</v>
      </c>
      <c r="I60" s="9">
        <f>J60*1.25</f>
        <v>2562.5</v>
      </c>
      <c r="J60" s="10" t="n">
        <v>2050</v>
      </c>
      <c r="K60" s="6" t="inlineStr">
        <is>
          <t>USD</t>
        </is>
      </c>
      <c r="L60" s="10" t="n">
        <v>2050</v>
      </c>
      <c r="M60" s="10" t="n"/>
      <c r="N60" s="31" t="str">
        <f>IF(OR(L60="",M60=""),"",L60/M60)</f>
        <v/>
      </c>
      <c r="O60" s="6" t="inlineStr">
        <is>
          <t>none - new tier</t>
        </is>
      </c>
      <c r="P60" s="6" t="inlineStr">
        <is>
          <t>wrong product</t>
        </is>
      </c>
      <c r="Q60" s="3" t="inlineStr">
        <is>
          <t>ETHERNET 100 Gbps Wave MRC (US point-to-point)</t>
        </is>
      </c>
      <c r="R60" s="6" t="inlineStr">
        <is>
          <t>Lightyear Ethernet Private Line Pricing 2026; AGGREGATOR/SNIPPET_ONLY</t>
        </is>
      </c>
      <c r="S60" s="3" t="inlineStr">
        <is>
          <t>With a median price of $2,050 per month, a 100 Gbps Wave comes in roughly in line with 10 Gbps DIA pricing</t>
        </is>
      </c>
      <c r="T60" s="6" t="inlineStr">
        <is>
          <t>https://lightyear.ai/blogs/ethernet-private-line-cost</t>
        </is>
      </c>
      <c r="U60" s="6" t="inlineStr">
        <is>
          <t>2026</t>
        </is>
      </c>
      <c r="V60" s="6" t="inlineStr">
        <is>
          <t>mcdonalds</t>
        </is>
      </c>
      <c r="W60" s="32" t="n">
        <v>-26733.736693</v>
      </c>
      <c r="X60" s="6" t="n">
        <v>2</v>
      </c>
      <c r="Y60" s="3" t="inlineStr">
        <is>
          <t>shell -26,734</t>
        </is>
      </c>
      <c r="Z60" s="3" t="inlineStr">
        <is>
          <t>10000 Mbps at 3450 &gt; 100000 Mbps at 2050</t>
        </is>
      </c>
      <c r="AA60" s="6" t="inlineStr">
        <is>
          <t>NO_BENCHMARK_AT_BANDWIDTH</t>
        </is>
      </c>
    </row>
  </sheetData>
  <autoFilter ref="A1:AA60"/>
  <dataValidations count="1">
    <dataValidation sqref="G2 G3 G4 G5 G6 G7 G8 G9 G10 G11 G12 G13 G14 G15 G16 G17 G18 G19 G20 G21 G22 G23 G24 G25 G26 G27 G28 G29 G30 G31 G32 G33 G34 G35 G36 G37 G38 G39 G40 G41 G42 G43 G44 G45 G46 G47 G48 G49 G50 G51 G52 G53 G54 G55 G56 G57 G58 G59 G60" showDropDown="0" showInputMessage="0" showErrorMessage="0" allowBlank="1" type="list">
      <formula1>"Approve,Reject,Hold"</formula1>
    </dataValidation>
  </dataValidations>
  <hyperlinks>
    <hyperlink ref="T2" r:id="rId1"/>
    <hyperlink ref="T3" r:id="rId2"/>
    <hyperlink ref="T4" r:id="rId3"/>
    <hyperlink ref="T5" r:id="rId4"/>
    <hyperlink ref="T6" r:id="rId5"/>
    <hyperlink ref="T7" r:id="rId6"/>
    <hyperlink ref="T8" r:id="rId7"/>
    <hyperlink ref="T9" r:id="rId8"/>
    <hyperlink ref="T10" r:id="rId9"/>
    <hyperlink ref="T11" r:id="rId10"/>
    <hyperlink ref="T12" r:id="rId11"/>
    <hyperlink ref="T13" r:id="rId12"/>
    <hyperlink ref="T14" r:id="rId13"/>
    <hyperlink ref="T15" r:id="rId14"/>
    <hyperlink ref="T16" r:id="rId15"/>
    <hyperlink ref="T17" r:id="rId16"/>
    <hyperlink ref="T18" r:id="rId17"/>
    <hyperlink ref="T19" r:id="rId18"/>
    <hyperlink ref="T20" r:id="rId19"/>
    <hyperlink ref="T21" r:id="rId20"/>
    <hyperlink ref="T22" r:id="rId21"/>
    <hyperlink ref="T23" r:id="rId22"/>
    <hyperlink ref="T24" r:id="rId23"/>
    <hyperlink ref="T25" r:id="rId24"/>
    <hyperlink ref="T26" r:id="rId25"/>
    <hyperlink ref="T27" r:id="rId26"/>
    <hyperlink ref="T28" r:id="rId27"/>
    <hyperlink ref="T29" r:id="rId28"/>
    <hyperlink ref="T30" r:id="rId29"/>
    <hyperlink ref="T31" r:id="rId30"/>
    <hyperlink ref="T32" r:id="rId31"/>
    <hyperlink ref="T33" r:id="rId32"/>
    <hyperlink ref="T34" r:id="rId33"/>
    <hyperlink ref="T35" r:id="rId34"/>
    <hyperlink ref="T36" r:id="rId35"/>
    <hyperlink ref="T37" r:id="rId36"/>
    <hyperlink ref="T38" r:id="rId37"/>
    <hyperlink ref="T39" r:id="rId38"/>
    <hyperlink ref="T40" r:id="rId39"/>
    <hyperlink ref="T41" r:id="rId40"/>
    <hyperlink ref="T42" r:id="rId41"/>
    <hyperlink ref="T43" r:id="rId42"/>
    <hyperlink ref="T44" r:id="rId43"/>
    <hyperlink ref="T45" r:id="rId44"/>
    <hyperlink ref="T46" r:id="rId45"/>
    <hyperlink ref="T47" r:id="rId46"/>
    <hyperlink ref="T48" r:id="rId47"/>
    <hyperlink ref="T49" r:id="rId48"/>
    <hyperlink ref="T50" r:id="rId49"/>
    <hyperlink ref="T51" r:id="rId50"/>
    <hyperlink ref="T52" r:id="rId51"/>
    <hyperlink ref="T53" r:id="rId52"/>
    <hyperlink ref="T54" r:id="rId53"/>
    <hyperlink ref="T56" r:id="rId54"/>
    <hyperlink ref="T58" r:id="rId55"/>
    <hyperlink ref="T60" r:id="rId56"/>
  </hyperlinks>
  <pageMargins left="0.75" right="0.75" top="1" bottom="1" header="0.5" footer="0.5"/>
  <legacyDrawing r:id="anysvml"/>
</worksheet>
</file>

<file path=xl/worksheets/sheet4.xml><?xml version="1.0" encoding="utf-8"?>
<worksheet xmlns="http://schemas.openxmlformats.org/spreadsheetml/2006/main">
  <sheetPr>
    <outlinePr summaryBelow="1" summaryRight="1"/>
    <pageSetUpPr/>
  </sheetPr>
  <dimension ref="A1:G2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5" customWidth="1" min="2" max="2"/>
    <col width="10" customWidth="1" min="3" max="3"/>
    <col width="44" customWidth="1" min="4" max="4"/>
    <col width="16" customWidth="1" min="5" max="5"/>
    <col width="18" customWidth="1" min="6" max="6"/>
    <col width="52" customWidth="1" min="7" max="7"/>
  </cols>
  <sheetData>
    <row r="1">
      <c r="A1" s="5" t="inlineStr">
        <is>
          <t>Country</t>
        </is>
      </c>
      <c r="B1" s="5" t="inlineStr">
        <is>
          <t>Product</t>
        </is>
      </c>
      <c r="C1" s="5" t="inlineStr">
        <is>
          <t>Researched prices</t>
        </is>
      </c>
      <c r="D1" s="5" t="inlineStr">
        <is>
          <t>Recommended for approval</t>
        </is>
      </c>
      <c r="E1" s="5" t="inlineStr">
        <is>
          <t>Effect of the recommended set, EUR/yr</t>
        </is>
      </c>
      <c r="F1" s="5" t="inlineStr">
        <is>
          <t>Effect if every researched price here is approved, EUR/yr</t>
        </is>
      </c>
      <c r="G1" s="5" t="inlineStr">
        <is>
          <t>Largest effects of the recommended set</t>
        </is>
      </c>
    </row>
    <row r="2">
      <c r="A2" s="6" t="inlineStr">
        <is>
          <t>AU</t>
        </is>
      </c>
      <c r="B2" s="6" t="inlineStr">
        <is>
          <t>BROADBAND_HFC</t>
        </is>
      </c>
      <c r="C2" s="6" t="n">
        <v>2</v>
      </c>
      <c r="D2" s="3" t="inlineStr">
        <is>
          <t>250 Mbps, 2000 Mbps</t>
        </is>
      </c>
      <c r="E2" s="32" t="n">
        <v>-1000837.396216216</v>
      </c>
      <c r="F2" s="32" t="n">
        <v>-1000837.396216216</v>
      </c>
      <c r="G2" s="3" t="inlineStr">
        <is>
          <t>woolworths -1,000,837</t>
        </is>
      </c>
    </row>
    <row r="3">
      <c r="A3" s="6" t="inlineStr">
        <is>
          <t>AU</t>
        </is>
      </c>
      <c r="B3" s="6" t="inlineStr">
        <is>
          <t>BROADBAND_PON</t>
        </is>
      </c>
      <c r="C3" s="6" t="n">
        <v>1</v>
      </c>
      <c r="D3" s="3" t="inlineStr">
        <is>
          <t>250 Mbps</t>
        </is>
      </c>
      <c r="E3" s="32" t="n">
        <v>0</v>
      </c>
      <c r="F3" s="32" t="n">
        <v>0</v>
      </c>
      <c r="G3" s="3" t="inlineStr"/>
    </row>
    <row r="4">
      <c r="A4" s="6" t="inlineStr">
        <is>
          <t>AU</t>
        </is>
      </c>
      <c r="B4" s="6" t="inlineStr">
        <is>
          <t>DIA</t>
        </is>
      </c>
      <c r="C4" s="6" t="n">
        <v>2</v>
      </c>
      <c r="D4" s="3" t="inlineStr">
        <is>
          <t>none</t>
        </is>
      </c>
      <c r="E4" s="32" t="n">
        <v>0</v>
      </c>
      <c r="F4" s="32" t="n">
        <v>-459004.9560810811</v>
      </c>
      <c r="G4" s="3" t="inlineStr"/>
    </row>
    <row r="5">
      <c r="A5" s="6" t="inlineStr">
        <is>
          <t>AU</t>
        </is>
      </c>
      <c r="B5" s="6" t="inlineStr">
        <is>
          <t>ETHERNET</t>
        </is>
      </c>
      <c r="C5" s="6" t="n">
        <v>3</v>
      </c>
      <c r="D5" s="3" t="inlineStr">
        <is>
          <t>250 Mbps, 500 Mbps, 1000 Mbps</t>
        </is>
      </c>
      <c r="E5" s="32" t="n">
        <v>-357787.6123579189</v>
      </c>
      <c r="F5" s="32" t="n">
        <v>-357787.6123579189</v>
      </c>
      <c r="G5" s="3" t="inlineStr">
        <is>
          <t>rio-tinto -304,560; woolworths -53,228</t>
        </is>
      </c>
    </row>
    <row r="6">
      <c r="A6" s="6" t="inlineStr">
        <is>
          <t>BE</t>
        </is>
      </c>
      <c r="B6" s="6" t="inlineStr">
        <is>
          <t>BROADBAND_PON</t>
        </is>
      </c>
      <c r="C6" s="6" t="n">
        <v>2</v>
      </c>
      <c r="D6" s="3" t="inlineStr">
        <is>
          <t>150 Mbps</t>
        </is>
      </c>
      <c r="E6" s="32" t="n">
        <v>0</v>
      </c>
      <c r="F6" s="32" t="n">
        <v>0</v>
      </c>
      <c r="G6" s="3" t="inlineStr"/>
    </row>
    <row r="7">
      <c r="A7" s="6" t="inlineStr">
        <is>
          <t>DE</t>
        </is>
      </c>
      <c r="B7" s="6" t="inlineStr">
        <is>
          <t>BROADBAND_PON</t>
        </is>
      </c>
      <c r="C7" s="6" t="n">
        <v>4</v>
      </c>
      <c r="D7" s="3" t="inlineStr">
        <is>
          <t>none</t>
        </is>
      </c>
      <c r="E7" s="32" t="n">
        <v>0</v>
      </c>
      <c r="F7" s="32" t="n">
        <v>-131200.10221975</v>
      </c>
      <c r="G7" s="3" t="inlineStr"/>
    </row>
    <row r="8">
      <c r="A8" s="6" t="inlineStr">
        <is>
          <t>ES</t>
        </is>
      </c>
      <c r="B8" s="6" t="inlineStr">
        <is>
          <t>DIA</t>
        </is>
      </c>
      <c r="C8" s="6" t="n">
        <v>3</v>
      </c>
      <c r="D8" s="3" t="inlineStr">
        <is>
          <t>none</t>
        </is>
      </c>
      <c r="E8" s="32" t="n">
        <v>0</v>
      </c>
      <c r="F8" s="32" t="n">
        <v>-19766167.74</v>
      </c>
      <c r="G8" s="3" t="inlineStr"/>
    </row>
    <row r="9">
      <c r="A9" s="6" t="inlineStr">
        <is>
          <t>FR</t>
        </is>
      </c>
      <c r="B9" s="6" t="inlineStr">
        <is>
          <t>BROADBAND_PON</t>
        </is>
      </c>
      <c r="C9" s="6" t="n">
        <v>1</v>
      </c>
      <c r="D9" s="3" t="inlineStr">
        <is>
          <t>none</t>
        </is>
      </c>
      <c r="E9" s="32" t="n">
        <v>0</v>
      </c>
      <c r="F9" s="32" t="n">
        <v>-723966.3278903649</v>
      </c>
      <c r="G9" s="3" t="inlineStr"/>
    </row>
    <row r="10">
      <c r="A10" s="6" t="inlineStr">
        <is>
          <t>FR</t>
        </is>
      </c>
      <c r="B10" s="6" t="inlineStr">
        <is>
          <t>DIA</t>
        </is>
      </c>
      <c r="C10" s="6" t="n">
        <v>1</v>
      </c>
      <c r="D10" s="3" t="inlineStr">
        <is>
          <t>1000 Mbps</t>
        </is>
      </c>
      <c r="E10" s="32" t="n">
        <v>-106959.98274275</v>
      </c>
      <c r="F10" s="32" t="n">
        <v>-106959.98274275</v>
      </c>
      <c r="G10" s="3" t="inlineStr">
        <is>
          <t>bnp-paribas -29,777; siemens -26,800; capgemini -14,889</t>
        </is>
      </c>
    </row>
    <row r="11">
      <c r="A11" s="6" t="inlineStr">
        <is>
          <t>GB</t>
        </is>
      </c>
      <c r="B11" s="6" t="inlineStr">
        <is>
          <t>BROADBAND_HFC</t>
        </is>
      </c>
      <c r="C11" s="6" t="n">
        <v>7</v>
      </c>
      <c r="D11" s="3" t="inlineStr">
        <is>
          <t>200 Mbps, 400 Mbps, 600 Mbps, 1000 Mbps, 2000 Mbps</t>
        </is>
      </c>
      <c r="E11" s="32" t="n">
        <v>-6205842.690308512</v>
      </c>
      <c r="F11" s="32" t="n">
        <v>-6406768.775884018</v>
      </c>
      <c r="G11" s="3" t="inlineStr">
        <is>
          <t>tesco -2,729,944; boots -1,535,239; mcdonalds -1,526,396</t>
        </is>
      </c>
    </row>
    <row r="12">
      <c r="A12" s="6" t="inlineStr">
        <is>
          <t>GB</t>
        </is>
      </c>
      <c r="B12" s="6" t="inlineStr">
        <is>
          <t>BROADBAND_PON</t>
        </is>
      </c>
      <c r="C12" s="6" t="n">
        <v>2</v>
      </c>
      <c r="D12" s="3" t="inlineStr">
        <is>
          <t>100 Mbps</t>
        </is>
      </c>
      <c r="E12" s="32" t="n">
        <v>-742283.2166248914</v>
      </c>
      <c r="F12" s="32" t="n">
        <v>-770672.2366248914</v>
      </c>
      <c r="G12" s="3" t="inlineStr">
        <is>
          <t>iberdrola -243,421; network-rail -216,375; nhs-england -161,315</t>
        </is>
      </c>
    </row>
    <row r="13">
      <c r="A13" s="6" t="inlineStr">
        <is>
          <t>GB</t>
        </is>
      </c>
      <c r="B13" s="6" t="inlineStr">
        <is>
          <t>DIA</t>
        </is>
      </c>
      <c r="C13" s="6" t="n">
        <v>5</v>
      </c>
      <c r="D13" s="3" t="inlineStr">
        <is>
          <t>none</t>
        </is>
      </c>
      <c r="E13" s="32" t="n">
        <v>0</v>
      </c>
      <c r="F13" s="32" t="n">
        <v>-5403847.282126876</v>
      </c>
      <c r="G13" s="3" t="inlineStr"/>
    </row>
    <row r="14">
      <c r="A14" s="6" t="inlineStr">
        <is>
          <t>GB</t>
        </is>
      </c>
      <c r="B14" s="6" t="inlineStr">
        <is>
          <t>ETHERNET</t>
        </is>
      </c>
      <c r="C14" s="6" t="n">
        <v>3</v>
      </c>
      <c r="D14" s="3" t="inlineStr">
        <is>
          <t>none</t>
        </is>
      </c>
      <c r="E14" s="32" t="n">
        <v>0</v>
      </c>
      <c r="F14" s="32" t="n">
        <v>-3267660.922588056</v>
      </c>
      <c r="G14" s="3" t="inlineStr"/>
    </row>
    <row r="15">
      <c r="A15" s="6" t="inlineStr">
        <is>
          <t>GB</t>
        </is>
      </c>
      <c r="B15" s="6" t="inlineStr">
        <is>
          <t>MPLS</t>
        </is>
      </c>
      <c r="C15" s="6" t="n">
        <v>1</v>
      </c>
      <c r="D15" s="3" t="inlineStr">
        <is>
          <t>none</t>
        </is>
      </c>
      <c r="E15" s="32" t="n">
        <v>0</v>
      </c>
      <c r="F15" s="32" t="n">
        <v>0</v>
      </c>
      <c r="G15" s="3" t="inlineStr"/>
    </row>
    <row r="16">
      <c r="A16" s="6" t="inlineStr">
        <is>
          <t>IE</t>
        </is>
      </c>
      <c r="B16" s="6" t="inlineStr">
        <is>
          <t>BROADBAND_PON</t>
        </is>
      </c>
      <c r="C16" s="6" t="n">
        <v>1</v>
      </c>
      <c r="D16" s="3" t="inlineStr">
        <is>
          <t>none</t>
        </is>
      </c>
      <c r="E16" s="32" t="n">
        <v>0</v>
      </c>
      <c r="F16" s="32" t="n">
        <v>-3152.93556125</v>
      </c>
      <c r="G16" s="3" t="inlineStr"/>
    </row>
    <row r="17">
      <c r="A17" s="6" t="inlineStr">
        <is>
          <t>IT</t>
        </is>
      </c>
      <c r="B17" s="6" t="inlineStr">
        <is>
          <t>ETHERNET</t>
        </is>
      </c>
      <c r="C17" s="6" t="n">
        <v>1</v>
      </c>
      <c r="D17" s="3" t="inlineStr">
        <is>
          <t>none</t>
        </is>
      </c>
      <c r="E17" s="32" t="n">
        <v>0</v>
      </c>
      <c r="F17" s="32" t="n">
        <v>0</v>
      </c>
      <c r="G17" s="3" t="inlineStr"/>
    </row>
    <row r="18">
      <c r="A18" s="6" t="inlineStr">
        <is>
          <t>NL</t>
        </is>
      </c>
      <c r="B18" s="6" t="inlineStr">
        <is>
          <t>BROADBAND_PON</t>
        </is>
      </c>
      <c r="C18" s="6" t="n">
        <v>1</v>
      </c>
      <c r="D18" s="3" t="inlineStr">
        <is>
          <t>none</t>
        </is>
      </c>
      <c r="E18" s="32" t="n">
        <v>0</v>
      </c>
      <c r="F18" s="32" t="n">
        <v>-2369.84292</v>
      </c>
      <c r="G18" s="3" t="inlineStr"/>
    </row>
    <row r="19">
      <c r="A19" s="6" t="inlineStr">
        <is>
          <t>NL</t>
        </is>
      </c>
      <c r="B19" s="6" t="inlineStr">
        <is>
          <t>DIA</t>
        </is>
      </c>
      <c r="C19" s="6" t="n">
        <v>1</v>
      </c>
      <c r="D19" s="3" t="inlineStr">
        <is>
          <t>200 Mbps</t>
        </is>
      </c>
      <c r="E19" s="32" t="n">
        <v>0</v>
      </c>
      <c r="F19" s="32" t="n">
        <v>0</v>
      </c>
      <c r="G19" s="3" t="inlineStr"/>
    </row>
    <row r="20">
      <c r="A20" s="6" t="inlineStr">
        <is>
          <t>NZ</t>
        </is>
      </c>
      <c r="B20" s="6" t="inlineStr">
        <is>
          <t>BROADBAND_PON</t>
        </is>
      </c>
      <c r="C20" s="6" t="n">
        <v>1</v>
      </c>
      <c r="D20" s="3" t="inlineStr">
        <is>
          <t>none</t>
        </is>
      </c>
      <c r="E20" s="32" t="n">
        <v>0</v>
      </c>
      <c r="F20" s="32" t="n">
        <v>0</v>
      </c>
      <c r="G20" s="3" t="inlineStr"/>
    </row>
    <row r="21">
      <c r="A21" s="6" t="inlineStr">
        <is>
          <t>SG</t>
        </is>
      </c>
      <c r="B21" s="6" t="inlineStr">
        <is>
          <t>BROADBAND_PON</t>
        </is>
      </c>
      <c r="C21" s="6" t="n">
        <v>2</v>
      </c>
      <c r="D21" s="3" t="inlineStr">
        <is>
          <t>500 Mbps, 1000 Mbps</t>
        </is>
      </c>
      <c r="E21" s="32" t="n">
        <v>-2520.08141125</v>
      </c>
      <c r="F21" s="32" t="n">
        <v>-2520.08141125</v>
      </c>
      <c r="G21" s="3" t="inlineStr">
        <is>
          <t>dbs -2,199; novartis -321</t>
        </is>
      </c>
    </row>
    <row r="22">
      <c r="A22" s="6" t="inlineStr">
        <is>
          <t>SG</t>
        </is>
      </c>
      <c r="B22" s="6" t="inlineStr">
        <is>
          <t>DIA</t>
        </is>
      </c>
      <c r="C22" s="6" t="n">
        <v>2</v>
      </c>
      <c r="D22" s="3" t="inlineStr">
        <is>
          <t>10000 Mbps</t>
        </is>
      </c>
      <c r="E22" s="32" t="n">
        <v>0</v>
      </c>
      <c r="F22" s="32" t="n">
        <v>0</v>
      </c>
      <c r="G22" s="3" t="inlineStr"/>
    </row>
    <row r="23">
      <c r="A23" s="6" t="inlineStr">
        <is>
          <t>US</t>
        </is>
      </c>
      <c r="B23" s="6" t="inlineStr">
        <is>
          <t>BROADBAND_HFC</t>
        </is>
      </c>
      <c r="C23" s="6" t="n">
        <v>3</v>
      </c>
      <c r="D23" s="3" t="inlineStr">
        <is>
          <t>100 Mbps, 500 Mbps, 1000 Mbps</t>
        </is>
      </c>
      <c r="E23" s="32" t="n">
        <v>-17460896.489056</v>
      </c>
      <c r="F23" s="32" t="n">
        <v>-17460896.489056</v>
      </c>
      <c r="G23" s="3" t="inlineStr">
        <is>
          <t>mcdonalds -14,602,237; ahold-delhaize -1,098,548; ups -865,097</t>
        </is>
      </c>
    </row>
    <row r="24">
      <c r="A24" s="6" t="inlineStr">
        <is>
          <t>US</t>
        </is>
      </c>
      <c r="B24" s="6" t="inlineStr">
        <is>
          <t>BROADBAND_PON</t>
        </is>
      </c>
      <c r="C24" s="6" t="n">
        <v>3</v>
      </c>
      <c r="D24" s="3" t="inlineStr">
        <is>
          <t>100 Mbps, 500 Mbps</t>
        </is>
      </c>
      <c r="E24" s="32" t="n">
        <v>212933.9944155</v>
      </c>
      <c r="F24" s="32" t="n">
        <v>137060.383292</v>
      </c>
      <c r="G24" s="3" t="inlineStr">
        <is>
          <t>simmons-bank -20,511; basf -13,372; siemens -11,391</t>
        </is>
      </c>
    </row>
    <row r="25">
      <c r="A25" s="6" t="inlineStr">
        <is>
          <t>US</t>
        </is>
      </c>
      <c r="B25" s="6" t="inlineStr">
        <is>
          <t>DIA</t>
        </is>
      </c>
      <c r="C25" s="6" t="n">
        <v>3</v>
      </c>
      <c r="D25" s="3" t="inlineStr">
        <is>
          <t>100 Mbps, 1000 Mbps, 10000 Mbps</t>
        </is>
      </c>
      <c r="E25" s="32" t="n">
        <v>-912496.4174</v>
      </c>
      <c r="F25" s="32" t="n">
        <v>-912496.4174</v>
      </c>
      <c r="G25" s="3" t="inlineStr">
        <is>
          <t>simmons-bank -537,948; siemens -314,464; nestle -84,483</t>
        </is>
      </c>
    </row>
    <row r="26">
      <c r="A26" s="6" t="inlineStr">
        <is>
          <t>US</t>
        </is>
      </c>
      <c r="B26" s="6" t="inlineStr">
        <is>
          <t>ETHERNET</t>
        </is>
      </c>
      <c r="C26" s="6" t="n">
        <v>2</v>
      </c>
      <c r="D26" s="3" t="inlineStr">
        <is>
          <t>10000 Mbps</t>
        </is>
      </c>
      <c r="E26" s="32" t="n">
        <v>-32322.017413</v>
      </c>
      <c r="F26" s="32" t="n">
        <v>-32322.017413</v>
      </c>
      <c r="G26" s="3" t="inlineStr">
        <is>
          <t>shell -32,322</t>
        </is>
      </c>
    </row>
    <row r="27">
      <c r="A27" s="6" t="inlineStr">
        <is>
          <t>US</t>
        </is>
      </c>
      <c r="B27" s="6" t="inlineStr">
        <is>
          <t>MPLS</t>
        </is>
      </c>
      <c r="C27" s="6" t="n">
        <v>1</v>
      </c>
      <c r="D27" s="3" t="inlineStr">
        <is>
          <t>1000 Mbps</t>
        </is>
      </c>
      <c r="E27" s="32" t="n">
        <v>0</v>
      </c>
      <c r="F27" s="32" t="n">
        <v>0</v>
      </c>
      <c r="G27" s="3" t="inlineStr"/>
    </row>
    <row r="28">
      <c r="A28" s="6" t="inlineStr">
        <is>
          <t>ZA</t>
        </is>
      </c>
      <c r="B28" s="6" t="inlineStr">
        <is>
          <t>DIA</t>
        </is>
      </c>
      <c r="C28" s="6" t="n">
        <v>1</v>
      </c>
      <c r="D28" s="3" t="inlineStr">
        <is>
          <t>none</t>
        </is>
      </c>
      <c r="E28" s="32" t="n">
        <v>0</v>
      </c>
      <c r="F28" s="32" t="n">
        <v>-16474.2432</v>
      </c>
      <c r="G28" s="3" t="inlineStr"/>
    </row>
    <row r="29">
      <c r="A29" s="15" t="inlineStr">
        <is>
          <t>Total</t>
        </is>
      </c>
      <c r="E29" s="33">
        <f>SUM(E2:E28)</f>
        <v>-26609011.909115</v>
      </c>
      <c r="F29" s="33">
        <f>SUM(F2:F28)</f>
        <v>-56688044.9784014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6" customWidth="1" min="2" max="2"/>
    <col width="18" customWidth="1" min="3" max="3"/>
    <col width="9" customWidth="1" min="4" max="4"/>
    <col width="20" customWidth="1" min="5" max="5"/>
    <col width="9" customWidth="1" min="6" max="6"/>
  </cols>
  <sheetData>
    <row r="1">
      <c r="A1" s="5" t="inlineStr">
        <is>
          <t>Company</t>
        </is>
      </c>
      <c r="B1" s="5" t="inlineStr">
        <is>
          <t>Baseline, EUR/yr</t>
        </is>
      </c>
      <c r="C1" s="5" t="inlineStr">
        <is>
          <t>Effect of the recommendation, EUR/yr</t>
        </is>
      </c>
      <c r="D1" s="5" t="inlineStr">
        <is>
          <t>Change</t>
        </is>
      </c>
      <c r="E1" s="5" t="inlineStr">
        <is>
          <t>Effect if every researched price is approved, EUR/yr</t>
        </is>
      </c>
      <c r="F1" s="5" t="inlineStr">
        <is>
          <t>Change</t>
        </is>
      </c>
    </row>
    <row r="2">
      <c r="A2" s="17" t="inlineStr">
        <is>
          <t>mcdonalds</t>
        </is>
      </c>
      <c r="B2" s="34" t="n">
        <v>81967734.19</v>
      </c>
      <c r="C2" s="34" t="n">
        <v>-16128633.003194</v>
      </c>
      <c r="D2" s="19">
        <f>IF(B2=0,"",C2/B2)</f>
        <v>-0.196768071761116</v>
      </c>
      <c r="E2" s="34" t="n">
        <v>-16135441.538216</v>
      </c>
      <c r="F2" s="19">
        <f>IF(B2=0,"",E2/B2)</f>
        <v>-0.196851135360339</v>
      </c>
    </row>
    <row r="3">
      <c r="A3" s="17" t="inlineStr">
        <is>
          <t>tesco</t>
        </is>
      </c>
      <c r="B3" s="34" t="n">
        <v>21814060.42</v>
      </c>
      <c r="C3" s="34" t="n">
        <v>-2729944.141842423</v>
      </c>
      <c r="D3" s="19">
        <f>IF(B3=0,"",C3/B3)</f>
        <v>-0.125146079605588</v>
      </c>
      <c r="E3" s="34" t="n">
        <v>-2938987.972194828</v>
      </c>
      <c r="F3" s="19">
        <f>IF(B3=0,"",E3/B3)</f>
        <v>-0.13472906536466</v>
      </c>
    </row>
    <row r="4">
      <c r="A4" s="17" t="inlineStr">
        <is>
          <t>boots</t>
        </is>
      </c>
      <c r="B4" s="34" t="n">
        <v>11079390.78</v>
      </c>
      <c r="C4" s="34" t="n">
        <v>-1535238.860845505</v>
      </c>
      <c r="D4" s="19">
        <f>IF(B4=0,"",C4/B4)</f>
        <v>-0.138567082913697</v>
      </c>
      <c r="E4" s="34" t="n">
        <v>-1585318.415019429</v>
      </c>
      <c r="F4" s="19">
        <f>IF(B4=0,"",E4/B4)</f>
        <v>-0.143087146802437</v>
      </c>
    </row>
    <row r="5">
      <c r="A5" s="17" t="inlineStr">
        <is>
          <t>ahold-delhaize</t>
        </is>
      </c>
      <c r="B5" s="34" t="n">
        <v>28128304</v>
      </c>
      <c r="C5" s="34" t="n">
        <v>-1094627.74</v>
      </c>
      <c r="D5" s="19">
        <f>IF(B5=0,"",C5/B5)</f>
        <v>-0.0389155257992092</v>
      </c>
      <c r="E5" s="34" t="n">
        <v>-1094627.74</v>
      </c>
      <c r="F5" s="19">
        <f>IF(B5=0,"",E5/B5)</f>
        <v>-0.0389155257992092</v>
      </c>
    </row>
    <row r="6">
      <c r="A6" s="17" t="inlineStr">
        <is>
          <t>woolworths</t>
        </is>
      </c>
      <c r="B6" s="34" t="n">
        <v>6323454.09</v>
      </c>
      <c r="C6" s="34" t="n">
        <v>-1054065.373135135</v>
      </c>
      <c r="D6" s="19">
        <f>IF(B6=0,"",C6/B6)</f>
        <v>-0.166691393363961</v>
      </c>
      <c r="E6" s="34" t="n">
        <v>-1513070.329216216</v>
      </c>
      <c r="F6" s="19">
        <f>IF(B6=0,"",E6/B6)</f>
        <v>-0.2392790882453</v>
      </c>
    </row>
    <row r="7">
      <c r="A7" s="17" t="inlineStr">
        <is>
          <t>ups</t>
        </is>
      </c>
      <c r="B7" s="34" t="n">
        <v>22704990.14</v>
      </c>
      <c r="C7" s="34" t="n">
        <v>-884341.338481</v>
      </c>
      <c r="D7" s="19">
        <f>IF(B7=0,"",C7/B7)</f>
        <v>-0.0389492060127801</v>
      </c>
      <c r="E7" s="34" t="n">
        <v>-997247.1530929999</v>
      </c>
      <c r="F7" s="19">
        <f>IF(B7=0,"",E7/B7)</f>
        <v>-0.0439219372897292</v>
      </c>
    </row>
    <row r="8">
      <c r="A8" s="17" t="inlineStr">
        <is>
          <t>victorias-secret</t>
        </is>
      </c>
      <c r="B8" s="34" t="n">
        <v>4699559.06</v>
      </c>
      <c r="C8" s="34" t="n">
        <v>-852215.94576</v>
      </c>
      <c r="D8" s="19">
        <f>IF(B8=0,"",C8/B8)</f>
        <v>-0.181339554387896</v>
      </c>
      <c r="E8" s="34" t="n">
        <v>-852215.94576</v>
      </c>
      <c r="F8" s="19">
        <f>IF(B8=0,"",E8/B8)</f>
        <v>-0.181339554387896</v>
      </c>
    </row>
    <row r="9">
      <c r="A9" s="17" t="inlineStr">
        <is>
          <t>simmons-bank</t>
        </is>
      </c>
      <c r="B9" s="34" t="n">
        <v>4493834.23</v>
      </c>
      <c r="C9" s="34" t="n">
        <v>-558458.55138</v>
      </c>
      <c r="D9" s="19">
        <f>IF(B9=0,"",C9/B9)</f>
        <v>-0.124272174450013</v>
      </c>
      <c r="E9" s="34" t="n">
        <v>-598112.661048</v>
      </c>
      <c r="F9" s="19">
        <f>IF(B9=0,"",E9/B9)</f>
        <v>-0.133096289368021</v>
      </c>
    </row>
    <row r="10">
      <c r="A10" s="17" t="inlineStr">
        <is>
          <t>siemens</t>
        </is>
      </c>
      <c r="B10" s="34" t="n">
        <v>13615381.15</v>
      </c>
      <c r="C10" s="34" t="n">
        <v>-352654.44</v>
      </c>
      <c r="D10" s="19">
        <f>IF(B10=0,"",C10/B10)</f>
        <v>-0.0259011801516846</v>
      </c>
      <c r="E10" s="34" t="n">
        <v>-676067.91</v>
      </c>
      <c r="F10" s="19">
        <f>IF(B10=0,"",E10/B10)</f>
        <v>-0.0496547178923449</v>
      </c>
    </row>
    <row r="11">
      <c r="A11" s="17" t="inlineStr">
        <is>
          <t>deutsche-post-dhl</t>
        </is>
      </c>
      <c r="B11" s="34" t="n">
        <v>19497183.25</v>
      </c>
      <c r="C11" s="34" t="n">
        <v>-349440.29</v>
      </c>
      <c r="D11" s="19">
        <f>IF(B11=0,"",C11/B11)</f>
        <v>-0.0179226037689316</v>
      </c>
      <c r="E11" s="34" t="n">
        <v>-2268262.07</v>
      </c>
      <c r="F11" s="19">
        <f>IF(B11=0,"",E11/B11)</f>
        <v>-0.116337936660671</v>
      </c>
    </row>
    <row r="12">
      <c r="A12" s="17" t="inlineStr">
        <is>
          <t>rio-tinto</t>
        </is>
      </c>
      <c r="B12" s="34" t="n">
        <v>1634821.48</v>
      </c>
      <c r="C12" s="34" t="n">
        <v>-304559.635439</v>
      </c>
      <c r="D12" s="19">
        <f>IF(B12=0,"",C12/B12)</f>
        <v>-0.186295347329912</v>
      </c>
      <c r="E12" s="34" t="n">
        <v>-344257.212997</v>
      </c>
      <c r="F12" s="19">
        <f>IF(B12=0,"",E12/B12)</f>
        <v>-0.210577862603689</v>
      </c>
    </row>
    <row r="13">
      <c r="A13" s="17" t="inlineStr">
        <is>
          <t>iberdrola</t>
        </is>
      </c>
      <c r="B13" s="34" t="n">
        <v>13002327.96</v>
      </c>
      <c r="C13" s="34" t="n">
        <v>-243421.43</v>
      </c>
      <c r="D13" s="19">
        <f>IF(B13=0,"",C13/B13)</f>
        <v>-0.0187213728763691</v>
      </c>
      <c r="E13" s="34" t="n">
        <v>-482074.1</v>
      </c>
      <c r="F13" s="19">
        <f>IF(B13=0,"",E13/B13)</f>
        <v>-0.0370759837379152</v>
      </c>
    </row>
    <row r="14">
      <c r="A14" s="17" t="inlineStr">
        <is>
          <t>network-rail</t>
        </is>
      </c>
      <c r="B14" s="34" t="n">
        <v>5634188.81</v>
      </c>
      <c r="C14" s="34" t="n">
        <v>-216374.5984898834</v>
      </c>
      <c r="D14" s="19">
        <f>IF(B14=0,"",C14/B14)</f>
        <v>-0.0384038600385285</v>
      </c>
      <c r="E14" s="34" t="n">
        <v>-963122.0445410693</v>
      </c>
      <c r="F14" s="19">
        <f>IF(B14=0,"",E14/B14)</f>
        <v>-0.170942450993415</v>
      </c>
    </row>
    <row r="15">
      <c r="A15" s="17" t="inlineStr">
        <is>
          <t>nhs-england</t>
        </is>
      </c>
      <c r="B15" s="34" t="n">
        <v>12936989.02</v>
      </c>
      <c r="C15" s="34" t="n">
        <v>-161314.9972477556</v>
      </c>
      <c r="D15" s="19">
        <f>IF(B15=0,"",C15/B15)</f>
        <v>-0.0124692845451418</v>
      </c>
      <c r="E15" s="34" t="n">
        <v>-2786626.617675198</v>
      </c>
      <c r="F15" s="19">
        <f>IF(B15=0,"",E15/B15)</f>
        <v>-0.215399936829752</v>
      </c>
    </row>
    <row r="16">
      <c r="A16" s="17" t="inlineStr">
        <is>
          <t>basf</t>
        </is>
      </c>
      <c r="B16" s="34" t="n">
        <v>5788034.84</v>
      </c>
      <c r="C16" s="34" t="n">
        <v>-88014.36</v>
      </c>
      <c r="D16" s="19">
        <f>IF(B16=0,"",C16/B16)</f>
        <v>-0.0152062595393776</v>
      </c>
      <c r="E16" s="34" t="n">
        <v>-134971.77</v>
      </c>
      <c r="F16" s="19">
        <f>IF(B16=0,"",E16/B16)</f>
        <v>-0.0233191011683682</v>
      </c>
    </row>
    <row r="17">
      <c r="A17" s="17" t="inlineStr">
        <is>
          <t>nestle</t>
        </is>
      </c>
      <c r="B17" s="34" t="n">
        <v>11678474.51</v>
      </c>
      <c r="C17" s="34" t="n">
        <v>-85349.23468125</v>
      </c>
      <c r="D17" s="19">
        <f>IF(B17=0,"",C17/B17)</f>
        <v>-0.00730825199885203</v>
      </c>
      <c r="E17" s="34" t="n">
        <v>-270794.18572625</v>
      </c>
      <c r="F17" s="19">
        <f>IF(B17=0,"",E17/B17)</f>
        <v>-0.0231874621547853</v>
      </c>
    </row>
    <row r="18">
      <c r="A18" s="17" t="inlineStr">
        <is>
          <t>capgemini</t>
        </is>
      </c>
      <c r="B18" s="34" t="n">
        <v>4759969.53</v>
      </c>
      <c r="C18" s="34" t="n">
        <v>-85290.94</v>
      </c>
      <c r="D18" s="19">
        <f>IF(B18=0,"",C18/B18)</f>
        <v>-0.0179183794060967</v>
      </c>
      <c r="E18" s="34" t="n">
        <v>-196274.93</v>
      </c>
      <c r="F18" s="19">
        <f>IF(B18=0,"",E18/B18)</f>
        <v>-0.0412344929443277</v>
      </c>
    </row>
    <row r="19">
      <c r="A19" s="17" t="inlineStr">
        <is>
          <t>novartis</t>
        </is>
      </c>
      <c r="B19" s="34" t="n">
        <v>4424642.29</v>
      </c>
      <c r="C19" s="34" t="n">
        <v>-79378.95483375</v>
      </c>
      <c r="D19" s="19">
        <f>IF(B19=0,"",C19/B19)</f>
        <v>-0.0179401971122393</v>
      </c>
      <c r="E19" s="34" t="n">
        <v>-93359.95739125001</v>
      </c>
      <c r="F19" s="19">
        <f>IF(B19=0,"",E19/B19)</f>
        <v>-0.0211000011463639</v>
      </c>
    </row>
    <row r="20">
      <c r="A20" s="17" t="inlineStr">
        <is>
          <t>unilever</t>
        </is>
      </c>
      <c r="B20" s="34" t="n">
        <v>4789794.63</v>
      </c>
      <c r="C20" s="34" t="n">
        <v>-67713.11</v>
      </c>
      <c r="D20" s="19">
        <f>IF(B20=0,"",C20/B20)</f>
        <v>-0.0141369547612525</v>
      </c>
      <c r="E20" s="34" t="n">
        <v>-249180.41</v>
      </c>
      <c r="F20" s="19">
        <f>IF(B20=0,"",E20/B20)</f>
        <v>-0.0520231929025316</v>
      </c>
    </row>
    <row r="21">
      <c r="A21" s="17" t="inlineStr">
        <is>
          <t>royal-mail</t>
        </is>
      </c>
      <c r="B21" s="34" t="n">
        <v>7662037.48</v>
      </c>
      <c r="C21" s="34" t="n">
        <v>-61732.40466032427</v>
      </c>
      <c r="D21" s="19">
        <f>IF(B21=0,"",C21/B21)</f>
        <v>-0.00805691760467925</v>
      </c>
      <c r="E21" s="34" t="n">
        <v>-655913.064596007</v>
      </c>
      <c r="F21" s="19">
        <f>IF(B21=0,"",E21/B21)</f>
        <v>-0.0856055672277927</v>
      </c>
    </row>
    <row r="22">
      <c r="A22" s="17" t="inlineStr">
        <is>
          <t>santander</t>
        </is>
      </c>
      <c r="B22" s="34" t="n">
        <v>30585796.02</v>
      </c>
      <c r="C22" s="34" t="n">
        <v>-57957.48</v>
      </c>
      <c r="D22" s="19">
        <f>IF(B22=0,"",C22/B22)</f>
        <v>-0.00189491488016535</v>
      </c>
      <c r="E22" s="34" t="n">
        <v>-14929277.15</v>
      </c>
      <c r="F22" s="19">
        <f>IF(B22=0,"",E22/B22)</f>
        <v>-0.488111446902927</v>
      </c>
    </row>
    <row r="23">
      <c r="A23" s="17" t="inlineStr">
        <is>
          <t>volkswagen</t>
        </is>
      </c>
      <c r="B23" s="34" t="n">
        <v>6228675.04</v>
      </c>
      <c r="C23" s="34" t="n">
        <v>-48420.69</v>
      </c>
      <c r="D23" s="19">
        <f>IF(B23=0,"",C23/B23)</f>
        <v>-0.00777383467415568</v>
      </c>
      <c r="E23" s="34" t="n">
        <v>-144122.26</v>
      </c>
      <c r="F23" s="19">
        <f>IF(B23=0,"",E23/B23)</f>
        <v>-0.023138510048198</v>
      </c>
    </row>
    <row r="24">
      <c r="A24" s="17" t="inlineStr">
        <is>
          <t>unfi</t>
        </is>
      </c>
      <c r="B24" s="34" t="n">
        <v>1923460.09</v>
      </c>
      <c r="C24" s="34" t="n">
        <v>-38354.045184</v>
      </c>
      <c r="D24" s="19">
        <f>IF(B24=0,"",C24/B24)</f>
        <v>-0.0199401304884886</v>
      </c>
      <c r="E24" s="34" t="n">
        <v>-38354.045184</v>
      </c>
      <c r="F24" s="19">
        <f>IF(B24=0,"",E24/B24)</f>
        <v>-0.0199401304884886</v>
      </c>
    </row>
    <row r="25">
      <c r="A25" s="17" t="inlineStr">
        <is>
          <t>bayer</t>
        </is>
      </c>
      <c r="B25" s="34" t="n">
        <v>3059085.94</v>
      </c>
      <c r="C25" s="34" t="n">
        <v>-34035.61</v>
      </c>
      <c r="D25" s="19">
        <f>IF(B25=0,"",C25/B25)</f>
        <v>-0.0111260718618451</v>
      </c>
      <c r="E25" s="34" t="n">
        <v>-35815.86</v>
      </c>
      <c r="F25" s="19">
        <f>IF(B25=0,"",E25/B25)</f>
        <v>-0.0117080267447472</v>
      </c>
    </row>
    <row r="26">
      <c r="A26" s="17" t="inlineStr">
        <is>
          <t>shell</t>
        </is>
      </c>
      <c r="B26" s="34" t="n">
        <v>12272260.2</v>
      </c>
      <c r="C26" s="34" t="n">
        <v>-32322.017413</v>
      </c>
      <c r="D26" s="19">
        <f>IF(B26=0,"",C26/B26)</f>
        <v>-0.0026337460978052</v>
      </c>
      <c r="E26" s="34" t="n">
        <v>-112951.686738</v>
      </c>
      <c r="F26" s="19">
        <f>IF(B26=0,"",E26/B26)</f>
        <v>-0.00920382104822061</v>
      </c>
    </row>
    <row r="27">
      <c r="A27" s="17" t="inlineStr">
        <is>
          <t>bnp-paribas</t>
        </is>
      </c>
      <c r="B27" s="34" t="n">
        <v>31866716.63</v>
      </c>
      <c r="C27" s="34" t="n">
        <v>-29777.28</v>
      </c>
      <c r="D27" s="19">
        <f>IF(B27=0,"",C27/B27)</f>
        <v>-0.000934432007719523</v>
      </c>
      <c r="E27" s="34" t="n">
        <v>-539612.74</v>
      </c>
      <c r="F27" s="19">
        <f>IF(B27=0,"",E27/B27)</f>
        <v>-0.0169334276343989</v>
      </c>
    </row>
    <row r="28">
      <c r="A28" s="17" t="inlineStr">
        <is>
          <t>toyota</t>
        </is>
      </c>
      <c r="B28" s="34" t="n">
        <v>2779745.33</v>
      </c>
      <c r="C28" s="34" t="n">
        <v>-17558.74610201351</v>
      </c>
      <c r="D28" s="19">
        <f>IF(B28=0,"",C28/B28)</f>
        <v>-0.00631667437750979</v>
      </c>
      <c r="E28" s="34" t="n">
        <v>-37810.57660617567</v>
      </c>
      <c r="F28" s="19">
        <f>IF(B28=0,"",E28/B28)</f>
        <v>-0.0136021729034349</v>
      </c>
    </row>
    <row r="29">
      <c r="A29" s="17" t="inlineStr">
        <is>
          <t>michelin</t>
        </is>
      </c>
      <c r="B29" s="34" t="n">
        <v>2786213.1</v>
      </c>
      <c r="C29" s="34" t="n">
        <v>-14943.12</v>
      </c>
      <c r="D29" s="19">
        <f>IF(B29=0,"",C29/B29)</f>
        <v>-0.00536323657368491</v>
      </c>
      <c r="E29" s="34" t="n">
        <v>-20283.87</v>
      </c>
      <c r="F29" s="19">
        <f>IF(B29=0,"",E29/B29)</f>
        <v>-0.00728008564743307</v>
      </c>
    </row>
    <row r="30">
      <c r="A30" s="17" t="inlineStr">
        <is>
          <t>abb</t>
        </is>
      </c>
      <c r="B30" s="34" t="n">
        <v>1168338.17</v>
      </c>
      <c r="C30" s="34" t="n">
        <v>-8419.634472</v>
      </c>
      <c r="D30" s="19">
        <f>IF(B30=0,"",C30/B30)</f>
        <v>-0.00720650466465544</v>
      </c>
      <c r="E30" s="34" t="n">
        <v>-17892.751151</v>
      </c>
      <c r="F30" s="19">
        <f>IF(B30=0,"",E30/B30)</f>
        <v>-0.0153147022073241</v>
      </c>
    </row>
    <row r="31">
      <c r="A31" s="17" t="inlineStr">
        <is>
          <t>accor</t>
        </is>
      </c>
      <c r="B31" s="34" t="n">
        <v>8659494.359999999</v>
      </c>
      <c r="C31" s="34" t="n">
        <v>-7444.32</v>
      </c>
      <c r="D31" s="19">
        <f>IF(B31=0,"",C31/B31)</f>
        <v>-0.000859671441601355</v>
      </c>
      <c r="E31" s="34" t="n">
        <v>-7444.32</v>
      </c>
      <c r="F31" s="19">
        <f>IF(B31=0,"",E31/B31)</f>
        <v>-0.000859671441601355</v>
      </c>
    </row>
    <row r="32">
      <c r="A32" s="17" t="inlineStr">
        <is>
          <t>henkel</t>
        </is>
      </c>
      <c r="B32" s="34" t="n">
        <v>682859.98</v>
      </c>
      <c r="C32" s="34" t="n">
        <v>-7429.09</v>
      </c>
      <c r="D32" s="19">
        <f>IF(B32=0,"",C32/B32)</f>
        <v>-0.0108793753003361</v>
      </c>
      <c r="E32" s="34" t="n">
        <v>-17319</v>
      </c>
      <c r="F32" s="19">
        <f>IF(B32=0,"",E32/B32)</f>
        <v>-0.0253624469250636</v>
      </c>
    </row>
    <row r="33">
      <c r="A33" s="17" t="inlineStr">
        <is>
          <t>danone</t>
        </is>
      </c>
      <c r="B33" s="34" t="n">
        <v>3147880.1</v>
      </c>
      <c r="C33" s="34" t="n">
        <v>-7279.6</v>
      </c>
      <c r="D33" s="19">
        <f>IF(B33=0,"",C33/B33)</f>
        <v>-0.00231254042998652</v>
      </c>
      <c r="E33" s="34" t="n">
        <v>-12620.35</v>
      </c>
      <c r="F33" s="19">
        <f>IF(B33=0,"",E33/B33)</f>
        <v>-0.00400915841743782</v>
      </c>
    </row>
    <row r="34">
      <c r="A34" s="17" t="inlineStr">
        <is>
          <t>saint-gobain</t>
        </is>
      </c>
      <c r="B34" s="34" t="n">
        <v>21150658.08</v>
      </c>
      <c r="C34" s="34" t="n">
        <v>-5967.71</v>
      </c>
      <c r="D34" s="19">
        <f>IF(B34=0,"",C34/B34)</f>
        <v>-0.00028215245017095</v>
      </c>
      <c r="E34" s="34" t="n">
        <v>-1306989.46</v>
      </c>
      <c r="F34" s="19">
        <f>IF(B34=0,"",E34/B34)</f>
        <v>-0.0617942692400614</v>
      </c>
    </row>
    <row r="35">
      <c r="A35" s="17" t="inlineStr">
        <is>
          <t>air-france-klm</t>
        </is>
      </c>
      <c r="B35" s="34" t="n">
        <v>992580.71</v>
      </c>
      <c r="C35" s="34" t="n">
        <v>-2977.73</v>
      </c>
      <c r="D35" s="19">
        <f>IF(B35=0,"",C35/B35)</f>
        <v>-0.00299998777933132</v>
      </c>
      <c r="E35" s="34" t="n">
        <v>-9843.23</v>
      </c>
      <c r="F35" s="19">
        <f>IF(B35=0,"",E35/B35)</f>
        <v>-0.00991680565704324</v>
      </c>
    </row>
    <row r="36">
      <c r="A36" s="17" t="inlineStr">
        <is>
          <t>dbs</t>
        </is>
      </c>
      <c r="B36" s="34" t="n">
        <v>11633057.47</v>
      </c>
      <c r="C36" s="34" t="n">
        <v>-2199.09195</v>
      </c>
      <c r="D36" s="19">
        <f>IF(B36=0,"",C36/B36)</f>
        <v>-0.000189038174673438</v>
      </c>
      <c r="E36" s="34" t="n">
        <v>-2199.09195</v>
      </c>
      <c r="F36" s="19">
        <f>IF(B36=0,"",E36/B36)</f>
        <v>-0.000189038174673438</v>
      </c>
    </row>
    <row r="37">
      <c r="A37" s="17" t="inlineStr">
        <is>
          <t>allianz</t>
        </is>
      </c>
      <c r="B37" s="34" t="n">
        <v>17529277.02</v>
      </c>
      <c r="C37" s="34" t="n">
        <v>-1488.86</v>
      </c>
      <c r="D37" s="19">
        <f>IF(B37=0,"",C37/B37)</f>
        <v>-8.49356193242475e-05</v>
      </c>
      <c r="E37" s="34" t="n">
        <v>-71029.94</v>
      </c>
      <c r="F37" s="19">
        <f>IF(B37=0,"",E37/B37)</f>
        <v>-0.00405207470444779</v>
      </c>
    </row>
    <row r="38">
      <c r="A38" s="17" t="inlineStr">
        <is>
          <t>totalenergies</t>
        </is>
      </c>
      <c r="B38" s="34" t="n">
        <v>10954055.03</v>
      </c>
      <c r="C38" s="34" t="n">
        <v>-1369.752484</v>
      </c>
      <c r="D38" s="19">
        <f>IF(B38=0,"",C38/B38)</f>
        <v>-0.00012504524399856</v>
      </c>
      <c r="E38" s="34" t="n">
        <v>-3595.064544</v>
      </c>
      <c r="F38" s="19">
        <f>IF(B38=0,"",E38/B38)</f>
        <v>-0.000328194858812938</v>
      </c>
    </row>
    <row r="39">
      <c r="A39" s="17" t="inlineStr">
        <is>
          <t>anglo-american</t>
        </is>
      </c>
      <c r="B39" s="34" t="n">
        <v>373694.9</v>
      </c>
      <c r="C39" s="34" t="n">
        <v>0</v>
      </c>
      <c r="D39" s="19">
        <f>IF(B39=0,"",C39/B39)</f>
        <v>0</v>
      </c>
      <c r="E39" s="34" t="n">
        <v>-26398.633234</v>
      </c>
      <c r="F39" s="19">
        <f>IF(B39=0,"",E39/B39)</f>
        <v>-0.0706422090159646</v>
      </c>
    </row>
    <row r="40">
      <c r="A40" s="17" t="inlineStr">
        <is>
          <t>aena</t>
        </is>
      </c>
      <c r="B40" s="34" t="n">
        <v>4831236.05</v>
      </c>
      <c r="C40" s="34" t="n">
        <v>0</v>
      </c>
      <c r="D40" s="19">
        <f>IF(B40=0,"",C40/B40)</f>
        <v>0</v>
      </c>
      <c r="E40" s="34" t="n">
        <v>-12462.66</v>
      </c>
      <c r="F40" s="19">
        <f>IF(B40=0,"",E40/B40)</f>
        <v>-0.00257960072143442</v>
      </c>
    </row>
    <row r="41">
      <c r="A41" s="17" t="inlineStr">
        <is>
          <t>eon</t>
        </is>
      </c>
      <c r="B41" s="34" t="n">
        <v>4934058.18</v>
      </c>
      <c r="C41" s="34" t="n">
        <v>0</v>
      </c>
      <c r="D41" s="19">
        <f>IF(B41=0,"",C41/B41)</f>
        <v>0</v>
      </c>
      <c r="E41" s="34" t="n">
        <v>-79395.16</v>
      </c>
      <c r="F41" s="19">
        <f>IF(B41=0,"",E41/B41)</f>
        <v>-0.0160912492523548</v>
      </c>
    </row>
    <row r="42">
      <c r="A42" s="17" t="inlineStr">
        <is>
          <t>carrefour</t>
        </is>
      </c>
      <c r="B42" s="34" t="n">
        <v>39900513.72</v>
      </c>
      <c r="C42" s="34" t="n">
        <v>0</v>
      </c>
      <c r="D42" s="19">
        <f>IF(B42=0,"",C42/B42)</f>
        <v>0</v>
      </c>
      <c r="E42" s="34" t="n">
        <v>-134271.72</v>
      </c>
      <c r="F42" s="19">
        <f>IF(B42=0,"",E42/B42)</f>
        <v>-0.00336516268793544</v>
      </c>
    </row>
    <row r="43">
      <c r="A43" s="17" t="inlineStr">
        <is>
          <t>maersk</t>
        </is>
      </c>
      <c r="B43" s="34" t="n">
        <v>2905267.73</v>
      </c>
      <c r="C43" s="34" t="n">
        <v>2575.66848</v>
      </c>
      <c r="D43" s="19">
        <f>IF(B43=0,"",C43/B43)</f>
        <v>0.00088655116132791</v>
      </c>
      <c r="E43" s="34" t="n">
        <v>2575.66848</v>
      </c>
      <c r="F43" s="19">
        <f>IF(B43=0,"",E43/B43)</f>
        <v>0.00088655116132791</v>
      </c>
    </row>
    <row r="44">
      <c r="A44" s="17" t="inlineStr">
        <is>
          <t>heidelberg-materials</t>
        </is>
      </c>
      <c r="B44" s="34" t="n">
        <v>6528520.26</v>
      </c>
      <c r="C44" s="34" t="n">
        <v>3213.97</v>
      </c>
      <c r="D44" s="19">
        <f>IF(B44=0,"",C44/B44)</f>
        <v>0.000492296856255754</v>
      </c>
      <c r="E44" s="34" t="n">
        <v>-119514.33</v>
      </c>
      <c r="F44" s="19">
        <f>IF(B44=0,"",E44/B44)</f>
        <v>-0.0183064959960774</v>
      </c>
    </row>
    <row r="45">
      <c r="A45" s="17" t="inlineStr">
        <is>
          <t>fresenius</t>
        </is>
      </c>
      <c r="B45" s="34" t="n">
        <v>36794481</v>
      </c>
      <c r="C45" s="34" t="n">
        <v>635912.58</v>
      </c>
      <c r="D45" s="19">
        <f>IF(B45=0,"",C45/B45)</f>
        <v>0.0172828251062979</v>
      </c>
      <c r="E45" s="34" t="n">
        <v>-4175490.72</v>
      </c>
      <c r="F45" s="19">
        <f>IF(B45=0,"",E45/B45)</f>
        <v>-0.113481440871526</v>
      </c>
    </row>
    <row r="46">
      <c r="A46" s="15" t="inlineStr">
        <is>
          <t>Companies affected</t>
        </is>
      </c>
      <c r="B46" s="33">
        <f>SUM(B2:B45)</f>
        <v>550323096.97</v>
      </c>
      <c r="C46" s="33">
        <f>SUM(C2:C45)</f>
        <v>-26609011.909115</v>
      </c>
      <c r="D46" s="20">
        <f>C46/B46</f>
        <v>-0.0483516175418049</v>
      </c>
      <c r="E46" s="33">
        <f>SUM(E2:E45)</f>
        <v>-56688044.9784014</v>
      </c>
      <c r="F46" s="20">
        <f>E46/B46</f>
        <v>-0.103008660349743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2026-10-25T10:13:34Z</dcterms:created>
  <dcterms:modified xmlns:dcterms="http://purl.org/dc/terms/" xmlns:xsi="http://www.w3.org/2001/XMLSchema-instance" xsi:type="dcterms:W3CDTF">2026-10-25T10:38:36Z</dcterms:modified>
</cp:coreProperties>
</file>