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ices" sheetId="2" state="visible" r:id="rId2"/>
    <sheet name="Sets" sheetId="3" state="visible" r:id="rId3"/>
    <sheet name="By company" sheetId="4" state="visible" r:id="rId4"/>
  </sheets>
  <definedNames>
    <definedName name="_xlnm._FilterDatabase" localSheetId="1" hidden="1">'Prices'!$A$1:$AB$60</definedName>
  </definedNames>
  <calcPr calcId="124519" fullCalcOnLoad="1"/>
</workbook>
</file>

<file path=xl/styles.xml><?xml version="1.0" encoding="utf-8"?>
<styleSheet xmlns="http://schemas.openxmlformats.org/spreadsheetml/2006/main">
  <numFmts count="3">
    <numFmt numFmtId="164" formatCode="0.00x"/>
    <numFmt numFmtId="165" formatCode="#,##0;(#,##0);&quot;-&quot;"/>
    <numFmt numFmtId="166" formatCode="0.0%;-0.0%;&quot;-&quot;"/>
  </numFmts>
  <fonts count="7">
    <font>
      <name val="Calibri"/>
      <family val="2"/>
      <color theme="1"/>
      <sz val="11"/>
      <scheme val="minor"/>
    </font>
    <font>
      <name val="Arial"/>
      <b val="1"/>
      <color rgb="00FFFFFF"/>
    </font>
    <font>
      <name val="Arial"/>
    </font>
    <font>
      <name val="Arial"/>
      <color rgb="000000FF"/>
    </font>
    <font>
      <name val="Arial"/>
      <b val="1"/>
    </font>
    <font>
      <name val="Arial"/>
      <b val="1"/>
      <sz val="14"/>
    </font>
    <font>
      <name val="Arial"/>
      <b val="1"/>
      <sz val="10"/>
    </font>
  </fonts>
  <fills count="7">
    <fill>
      <patternFill/>
    </fill>
    <fill>
      <patternFill patternType="gray125"/>
    </fill>
    <fill>
      <patternFill patternType="solid">
        <fgColor rgb="001F3A5F"/>
      </patternFill>
    </fill>
    <fill>
      <patternFill patternType="solid">
        <fgColor rgb="00FFF2CC"/>
      </patternFill>
    </fill>
    <fill>
      <patternFill patternType="solid">
        <fgColor rgb="00FCE4D6"/>
      </patternFill>
    </fill>
    <fill>
      <patternFill patternType="solid">
        <fgColor rgb="00E2EFDA"/>
      </patternFill>
    </fill>
    <fill>
      <patternFill patternType="solid">
        <fgColor rgb="00F2F2F2"/>
      </patternFill>
    </fill>
  </fills>
  <borders count="1">
    <border>
      <left/>
      <right/>
      <top/>
      <bottom/>
      <diagonal/>
    </border>
  </borders>
  <cellStyleXfs count="1">
    <xf numFmtId="0" fontId="0" fillId="0" borderId="0"/>
  </cellStyleXfs>
  <cellXfs count="20">
    <xf numFmtId="0" fontId="0" fillId="0" borderId="0" pivotButton="0" quotePrefix="0" xfId="0"/>
    <xf numFmtId="0" fontId="5" fillId="0" borderId="0" applyAlignment="1" pivotButton="0" quotePrefix="0" xfId="0">
      <alignment vertical="top"/>
    </xf>
    <xf numFmtId="0" fontId="6" fillId="0" borderId="0" applyAlignment="1" pivotButton="0" quotePrefix="0" xfId="0">
      <alignment vertical="top"/>
    </xf>
    <xf numFmtId="0" fontId="2"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xf numFmtId="0" fontId="2" fillId="4" borderId="0" applyAlignment="1" pivotButton="0" quotePrefix="0" xfId="0">
      <alignment vertical="top"/>
    </xf>
    <xf numFmtId="0" fontId="3" fillId="3" borderId="0" applyAlignment="1" pivotButton="0" quotePrefix="0" xfId="0">
      <alignment vertical="top"/>
    </xf>
    <xf numFmtId="0" fontId="3" fillId="3" borderId="0" applyAlignment="1" pivotButton="0" quotePrefix="0" xfId="0">
      <alignment vertical="top" wrapText="1"/>
    </xf>
    <xf numFmtId="4" fontId="3" fillId="3" borderId="0" applyAlignment="1" pivotButton="0" quotePrefix="0" xfId="0">
      <alignment vertical="top"/>
    </xf>
    <xf numFmtId="4" fontId="2" fillId="0" borderId="0" applyAlignment="1" pivotButton="0" quotePrefix="0" xfId="0">
      <alignment vertical="top"/>
    </xf>
    <xf numFmtId="164" fontId="2" fillId="0" borderId="0" applyAlignment="1" pivotButton="0" quotePrefix="0" xfId="0">
      <alignment vertical="top"/>
    </xf>
    <xf numFmtId="165" fontId="2" fillId="0"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0" borderId="0" pivotButton="0" quotePrefix="0" xfId="0"/>
    <xf numFmtId="165" fontId="2" fillId="0" borderId="0" pivotButton="0" quotePrefix="0" xfId="0"/>
    <xf numFmtId="0" fontId="4" fillId="0" borderId="0" pivotButton="0" quotePrefix="0" xfId="0"/>
    <xf numFmtId="165" fontId="4" fillId="0" borderId="0" pivotButton="0" quotePrefix="0" xfId="0"/>
    <xf numFmtId="166"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00" customWidth="1" min="2" max="2"/>
  </cols>
  <sheetData>
    <row r="1">
      <c r="A1" s="1" t="inlineStr">
        <is>
          <t>Researched prices</t>
        </is>
      </c>
    </row>
    <row r="2">
      <c r="A2" s="2" t="inlineStr">
        <is>
          <t>What this is</t>
        </is>
      </c>
      <c r="B2" s="3" t="inlineStr">
        <is>
          <t>Every researched price on the rate card - 29 approved, 5 held, 25 revoked - beside the rate it would replace, with its evidence and what its approval does to the sample baselines.</t>
        </is>
      </c>
    </row>
    <row r="3">
      <c r="A3" s="2" t="inlineStr">
        <is>
          <t>Deciding</t>
        </is>
      </c>
      <c r="B3" s="3" t="inlineStr">
        <is>
          <t>Prices sheet: Decision is Approve, Reject or Hold, with a Reason. Band low and high are the range a price is approved at: the card's +/-25% unless typed over. A decision the register already holds is filled in; undecided prices come first.</t>
        </is>
      </c>
    </row>
    <row r="4">
      <c r="A4" s="2" t="inlineStr">
        <is>
          <t>Applying</t>
        </is>
      </c>
      <c r="B4" s="3" t="inlineStr">
        <is>
          <t>python tools/build_price_review.py --to-register &lt;this file&gt; writes samples/price_decisions.csv; tools/approve_prices.py --decisions applies it. A decision names its figure, and is refused if the card now holds another.</t>
        </is>
      </c>
    </row>
    <row r="5">
      <c r="A5" s="2" t="inlineStr">
        <is>
          <t>Effects</t>
        </is>
      </c>
      <c r="B5" s="3" t="inlineStr">
        <is>
          <t>EUR per year on the L0 baselines, priced as the estimate prices, against the card as it stands: an approved price shows the effect it is having, an undecided one the effect it would have. Effects of single prices are not additive; the Sets sheet's are.</t>
        </is>
      </c>
    </row>
    <row r="6">
      <c r="A6" s="2" t="inlineStr">
        <is>
          <t>Flags</t>
        </is>
      </c>
      <c r="B6" s="3" t="inlineStr">
        <is>
          <t>Read from the evidence, never decisions: wording that suggests wholesale, consumer, a 'from' floor or a promotion; one source; read from a snippet; untraceable; no exchange rate; re-prices lower tiers - a cheaper upper tier prices every circuit beneath it.</t>
        </is>
      </c>
    </row>
    <row r="7">
      <c r="A7" s="2" t="inlineStr">
        <is>
          <t>Checked</t>
        </is>
      </c>
      <c r="B7" s="3" t="inlineStr">
        <is>
          <t>The pricing reproduced all 50 stored L0 baselines to the cent before any effect was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8" customWidth="1" min="2" max="2"/>
    <col width="15" customWidth="1" min="3" max="3"/>
    <col width="9" customWidth="1" min="4" max="4"/>
    <col width="18" customWidth="1" min="5" max="5"/>
    <col width="11" customWidth="1" min="6" max="6"/>
    <col width="50" customWidth="1" min="7" max="7"/>
    <col width="10" customWidth="1" min="8" max="8"/>
    <col width="10" customWidth="1" min="9" max="9"/>
    <col width="11" customWidth="1" min="10" max="10"/>
    <col width="8" customWidth="1" min="11" max="11"/>
    <col width="12" customWidth="1" min="12" max="12"/>
    <col width="12" customWidth="1" min="13" max="13"/>
    <col width="7" customWidth="1" min="14" max="14"/>
    <col width="13" customWidth="1" min="15" max="15"/>
    <col width="30" customWidth="1" min="16" max="16"/>
    <col width="40" customWidth="1" min="17" max="17"/>
    <col width="32" customWidth="1" min="18" max="18"/>
    <col width="50" customWidth="1" min="19" max="19"/>
    <col width="40" customWidth="1" min="20" max="20"/>
    <col width="10" customWidth="1" min="21" max="21"/>
    <col width="16" customWidth="1" min="22" max="22"/>
    <col width="14" customWidth="1" min="23" max="23"/>
    <col width="10" customWidth="1" min="24" max="24"/>
    <col width="38" customWidth="1" min="25" max="25"/>
    <col width="36" customWidth="1" min="26" max="26"/>
    <col width="30" customWidth="1" min="27" max="27"/>
    <col width="40" customWidth="1" min="28" max="28"/>
  </cols>
  <sheetData>
    <row r="1">
      <c r="A1" s="4" t="inlineStr">
        <is>
          <t>Price</t>
        </is>
      </c>
      <c r="B1" s="4" t="inlineStr">
        <is>
          <t>Country</t>
        </is>
      </c>
      <c r="C1" s="4" t="inlineStr">
        <is>
          <t>Product</t>
        </is>
      </c>
      <c r="D1" s="4" t="inlineStr">
        <is>
          <t>Tier (Mbps)</t>
        </is>
      </c>
      <c r="E1" s="4" t="inlineStr">
        <is>
          <t>State</t>
        </is>
      </c>
      <c r="F1" s="4" t="inlineStr">
        <is>
          <t>Decision</t>
        </is>
      </c>
      <c r="G1" s="4" t="inlineStr">
        <is>
          <t>Reason</t>
        </is>
      </c>
      <c r="H1" s="4" t="inlineStr">
        <is>
          <t>Band low</t>
        </is>
      </c>
      <c r="I1" s="4" t="inlineStr">
        <is>
          <t>Band high</t>
        </is>
      </c>
      <c r="J1" s="4" t="inlineStr">
        <is>
          <t>Researched price</t>
        </is>
      </c>
      <c r="K1" s="4" t="inlineStr">
        <is>
          <t>Currency</t>
        </is>
      </c>
      <c r="L1" s="4" t="inlineStr">
        <is>
          <t>Researched, USD/month</t>
        </is>
      </c>
      <c r="M1" s="4" t="inlineStr">
        <is>
          <t>Rate it replaces, USD/month</t>
        </is>
      </c>
      <c r="N1" s="4" t="inlineStr">
        <is>
          <t>Ratio</t>
        </is>
      </c>
      <c r="O1" s="4" t="inlineStr">
        <is>
          <t>Row it replaces</t>
        </is>
      </c>
      <c r="P1" s="4" t="inlineStr">
        <is>
          <t>Flags</t>
        </is>
      </c>
      <c r="Q1" s="4" t="inlineStr">
        <is>
          <t>Vendor / plan</t>
        </is>
      </c>
      <c r="R1" s="4" t="inlineStr">
        <is>
          <t>Source</t>
        </is>
      </c>
      <c r="S1" s="4" t="inlineStr">
        <is>
          <t>Source wording</t>
        </is>
      </c>
      <c r="T1" s="4" t="inlineStr">
        <is>
          <t>Source URL</t>
        </is>
      </c>
      <c r="U1" s="4" t="inlineStr">
        <is>
          <t>As of</t>
        </is>
      </c>
      <c r="V1" s="4" t="inlineStr">
        <is>
          <t>Researched for</t>
        </is>
      </c>
      <c r="W1" s="4" t="inlineStr">
        <is>
          <t>Effect of its approval, EUR/yr</t>
        </is>
      </c>
      <c r="X1" s="4" t="inlineStr">
        <is>
          <t>Circuits re-priced</t>
        </is>
      </c>
      <c r="Y1" s="4" t="inlineStr">
        <is>
          <t>Largest effects</t>
        </is>
      </c>
      <c r="Z1" s="4" t="inlineStr">
        <is>
          <t>Approving it re-prices lower tiers</t>
        </is>
      </c>
      <c r="AA1" s="4" t="inlineStr">
        <is>
          <t>Other companies found</t>
        </is>
      </c>
      <c r="AB1" s="4" t="inlineStr">
        <is>
          <t>Traced URL</t>
        </is>
      </c>
    </row>
    <row r="2">
      <c r="A2" s="5" t="inlineStr">
        <is>
          <t>BE-BROADBAND_PON-2500-researched</t>
        </is>
      </c>
      <c r="B2" s="5" t="inlineStr">
        <is>
          <t>BE</t>
        </is>
      </c>
      <c r="C2" s="5" t="inlineStr">
        <is>
          <t>BROADBAND_PON</t>
        </is>
      </c>
      <c r="D2" s="5" t="n">
        <v>2500</v>
      </c>
      <c r="E2" s="6" t="inlineStr">
        <is>
          <t>held by Christian Bartosch</t>
        </is>
      </c>
      <c r="F2" s="7" t="inlineStr">
        <is>
          <t>Hold</t>
        </is>
      </c>
      <c r="G2" s="8" t="inlineStr">
        <is>
          <t>Proximus Flex+ is a small-business pack 'from' EUR 95 with services bundled in, not a connectivity price. No circuit in the set uses it.</t>
        </is>
      </c>
      <c r="H2" s="9">
        <f>J2*0.75</f>
        <v/>
      </c>
      <c r="I2" s="9">
        <f>J2*1.25</f>
        <v/>
      </c>
      <c r="J2" s="10" t="n">
        <v>95</v>
      </c>
      <c r="K2" s="5" t="inlineStr">
        <is>
          <t>EUR</t>
        </is>
      </c>
      <c r="L2" s="10" t="n">
        <v>109.06</v>
      </c>
      <c r="M2" s="10" t="n"/>
      <c r="N2" s="11">
        <f>IF(OR(L2="",M2=""),"",L2/M2)</f>
        <v/>
      </c>
      <c r="O2" s="5" t="inlineStr">
        <is>
          <t>none - new tier</t>
        </is>
      </c>
      <c r="P2" s="3" t="inlineStr">
        <is>
          <t>floor; single source; re-prices lower tiers</t>
        </is>
      </c>
      <c r="Q2" s="3" t="inlineStr">
        <is>
          <t>BROADBAND_PON 2500 Mbps MRC (Proximus Flex+ Giga Fiber 2.5 Gbps)</t>
        </is>
      </c>
      <c r="R2" s="5" t="inlineStr">
        <is>
          <t>Proximus (proximus.com press release Jul 2025); COMPANY_PUBLISHED/FULL_PAGE</t>
        </is>
      </c>
      <c r="S2" s="3" t="inlineStr">
        <is>
          <t>Business Flex+ Giga Fiber 2.5 Gbps symmetric: from €95/month</t>
        </is>
      </c>
      <c r="T2" s="5" t="inlineStr">
        <is>
          <t>https://www.proximus.com/news/2025/202507-business-flex-plus-packs-as-of-july-1-2025.html</t>
        </is>
      </c>
      <c r="U2" s="5" t="inlineStr">
        <is>
          <t>2025-07</t>
        </is>
      </c>
      <c r="V2" s="5" t="inlineStr">
        <is>
          <t>bnp-paribas</t>
        </is>
      </c>
      <c r="W2" s="12" t="n">
        <v>0</v>
      </c>
      <c r="X2" s="5" t="n">
        <v>0</v>
      </c>
      <c r="Y2" s="3" t="inlineStr"/>
      <c r="Z2" s="3" t="inlineStr">
        <is>
          <t>1000 Mbps at 136 &gt; 2500 Mbps at 109 USD</t>
        </is>
      </c>
      <c r="AA2" s="3" t="inlineStr">
        <is>
          <t>bnp-paribas 95 EUR</t>
        </is>
      </c>
      <c r="AB2" s="7" t="n"/>
    </row>
    <row r="3">
      <c r="A3" s="5" t="inlineStr">
        <is>
          <t>ES-DIA-100-researched</t>
        </is>
      </c>
      <c r="B3" s="5" t="inlineStr">
        <is>
          <t>ES</t>
        </is>
      </c>
      <c r="C3" s="5" t="inlineStr">
        <is>
          <t>DIA</t>
        </is>
      </c>
      <c r="D3" s="5" t="n">
        <v>100</v>
      </c>
      <c r="E3" s="6" t="inlineStr">
        <is>
          <t>held by Christian Bartosch</t>
        </is>
      </c>
      <c r="F3" s="7" t="inlineStr">
        <is>
          <t>Hold</t>
        </is>
      </c>
      <c r="G3" s="8" t="inlineStr">
        <is>
          <t>Held: Direct Telecom's EUR 159.99 is a guaranteed rather than dedicated circuit, below Kompara's EUR 200-300 for 100 Mbps dedicated fibre. The card now prices Spain DIA 100 at that range's EUR 250 midpoint as a sourced rate; approving this row would displace it.</t>
        </is>
      </c>
      <c r="H3" s="9">
        <f>J3*0.75</f>
        <v/>
      </c>
      <c r="I3" s="9">
        <f>J3*1.25</f>
        <v/>
      </c>
      <c r="J3" s="10" t="n">
        <v>159.99</v>
      </c>
      <c r="K3" s="5" t="inlineStr">
        <is>
          <t>EUR</t>
        </is>
      </c>
      <c r="L3" s="10" t="n">
        <v>183.66</v>
      </c>
      <c r="M3" s="10" t="n">
        <v>287</v>
      </c>
      <c r="N3" s="11">
        <f>IF(OR(L3="",M3=""),"",L3/M3)</f>
        <v/>
      </c>
      <c r="O3" s="5" t="inlineStr">
        <is>
          <t>SEED</t>
        </is>
      </c>
      <c r="P3" s="3" t="inlineStr">
        <is>
          <t>single source</t>
        </is>
      </c>
      <c r="Q3" s="3" t="inlineStr"/>
      <c r="R3" s="5" t="inlineStr">
        <is>
          <t>traced in review; REVIEWER_TRACED</t>
        </is>
      </c>
      <c r="S3" s="3" t="inlineStr">
        <is>
          <t>band, MPLS/IP-VPN and SD-WAN from all four national players plus resellers. Telefónica Global Solutions offers DIA on its own Tier 1 global infrastructure. A domestic reseller (Direct Telecom) lists 100/100 Mbps DIA at €159.99/month and 1 Gbps dedicated circuit at €449/month (2025 prices). Telefónica and MasOrange are exploring acquisition of Vodafone España (as of mid-2025); if comp</t>
        </is>
      </c>
      <c r="T3" s="5" t="inlineStr">
        <is>
          <t>https://direct-telecom.es/internet/business_class_fibre/</t>
        </is>
      </c>
      <c r="U3" s="5" t="inlineStr">
        <is>
          <t>2025</t>
        </is>
      </c>
      <c r="V3" s="5" t="inlineStr">
        <is>
          <t>inditex</t>
        </is>
      </c>
      <c r="W3" s="12" t="n">
        <v>-2357511.18</v>
      </c>
      <c r="X3" s="5" t="n">
        <v>2072</v>
      </c>
      <c r="Y3" s="3" t="inlineStr">
        <is>
          <t>santander -1,760,707; fresenius -580,601; carrefour -16,203</t>
        </is>
      </c>
      <c r="Z3" s="3" t="inlineStr">
        <is>
          <t>no</t>
        </is>
      </c>
      <c r="AA3" s="3" t="inlineStr"/>
      <c r="AB3" s="7" t="inlineStr">
        <is>
          <t>https://direct-telecom.es/internet/business_class_fibre/</t>
        </is>
      </c>
    </row>
    <row r="4">
      <c r="A4" s="5" t="inlineStr">
        <is>
          <t>SG-DIA-100-researched</t>
        </is>
      </c>
      <c r="B4" s="5" t="inlineStr">
        <is>
          <t>SG</t>
        </is>
      </c>
      <c r="C4" s="5" t="inlineStr">
        <is>
          <t>DIA</t>
        </is>
      </c>
      <c r="D4" s="5" t="n">
        <v>100</v>
      </c>
      <c r="E4" s="6" t="inlineStr">
        <is>
          <t>held by Christian Bartosch</t>
        </is>
      </c>
      <c r="F4" s="7" t="inlineStr">
        <is>
          <t>Hold</t>
        </is>
      </c>
      <c r="G4" s="8" t="inlineStr">
        <is>
          <t>Published on SPTel's promotion page (valid to 31 Dec 2026). No circuit in the set uses it.</t>
        </is>
      </c>
      <c r="H4" s="9">
        <f>J4*0.75</f>
        <v/>
      </c>
      <c r="I4" s="9">
        <f>J4*1.25</f>
        <v/>
      </c>
      <c r="J4" s="10" t="n">
        <v>312</v>
      </c>
      <c r="K4" s="5" t="inlineStr">
        <is>
          <t>SGD</t>
        </is>
      </c>
      <c r="L4" s="10" t="n">
        <v>243.75</v>
      </c>
      <c r="M4" s="10" t="n">
        <v>660</v>
      </c>
      <c r="N4" s="11">
        <f>IF(OR(L4="",M4=""),"",L4/M4)</f>
        <v/>
      </c>
      <c r="O4" s="5" t="inlineStr">
        <is>
          <t>SEED</t>
        </is>
      </c>
      <c r="P4" s="3" t="inlineStr">
        <is>
          <t>single source; read from a snippet</t>
        </is>
      </c>
      <c r="Q4" s="3" t="inlineStr">
        <is>
          <t>DIA 100 Mbps MRC — Singapore (SPTel enterprise tariff)</t>
        </is>
      </c>
      <c r="R4" s="5" t="inlineStr">
        <is>
          <t>SPTel; COMPANY_PUBLISHED/SNIPPET_ONLY</t>
        </is>
      </c>
      <c r="S4" s="3" t="inlineStr">
        <is>
          <t>Enterprise Internet 100Mbps $312/mth (on 24-month contract)</t>
        </is>
      </c>
      <c r="T4" s="5" t="inlineStr">
        <is>
          <t>https://sptel.com/promotion/business-broadband-singapore/</t>
        </is>
      </c>
      <c r="U4" s="5" t="inlineStr">
        <is>
          <t>2026</t>
        </is>
      </c>
      <c r="V4" s="5" t="inlineStr">
        <is>
          <t>dbs</t>
        </is>
      </c>
      <c r="W4" s="12" t="n">
        <v>0</v>
      </c>
      <c r="X4" s="5" t="n">
        <v>0</v>
      </c>
      <c r="Y4" s="3" t="inlineStr"/>
      <c r="Z4" s="3" t="inlineStr">
        <is>
          <t>no</t>
        </is>
      </c>
      <c r="AA4" s="3" t="inlineStr">
        <is>
          <t>dbs 312 SGD; dbs 312 SGD</t>
        </is>
      </c>
      <c r="AB4" s="7" t="n"/>
    </row>
    <row r="5">
      <c r="A5" s="5" t="inlineStr">
        <is>
          <t>US-BROADBAND_PON-300-researched</t>
        </is>
      </c>
      <c r="B5" s="5" t="inlineStr">
        <is>
          <t>US</t>
        </is>
      </c>
      <c r="C5" s="5" t="inlineStr">
        <is>
          <t>BROADBAND_PON</t>
        </is>
      </c>
      <c r="D5" s="5" t="n">
        <v>300</v>
      </c>
      <c r="E5" s="6" t="inlineStr">
        <is>
          <t>held by Christian Bartosch</t>
        </is>
      </c>
      <c r="F5" s="7" t="inlineStr">
        <is>
          <t>Hold</t>
        </is>
      </c>
      <c r="G5" s="8" t="inlineStr">
        <is>
          <t>AT&amp;T Business Fiber 300, inside AT&amp;T's footprint only. At $70 it is below the national median for 100 Mbps, and would price every US PON circuit up to 300 Mbps at it.</t>
        </is>
      </c>
      <c r="H5" s="9">
        <f>J5*0.75</f>
        <v/>
      </c>
      <c r="I5" s="9">
        <f>J5*1.25</f>
        <v/>
      </c>
      <c r="J5" s="10" t="n">
        <v>70</v>
      </c>
      <c r="K5" s="5" t="inlineStr">
        <is>
          <t>USD</t>
        </is>
      </c>
      <c r="L5" s="10" t="n">
        <v>70</v>
      </c>
      <c r="M5" s="10" t="n"/>
      <c r="N5" s="11">
        <f>IF(OR(L5="",M5=""),"",L5/M5)</f>
        <v/>
      </c>
      <c r="O5" s="5" t="inlineStr">
        <is>
          <t>none - new tier</t>
        </is>
      </c>
      <c r="P5" s="3" t="inlineStr">
        <is>
          <t>read from a snippet; re-prices lower tiers</t>
        </is>
      </c>
      <c r="Q5" s="3" t="inlineStr">
        <is>
          <t>BROADBAND_PON 300 Mbps MRC – US (AT&amp;T Business Fiber published rate)</t>
        </is>
      </c>
      <c r="R5" s="5" t="inlineStr">
        <is>
          <t>business.org (AT&amp;T Business Internet Review 2026); AGGREGATOR/SNIPPET_ONLY</t>
        </is>
      </c>
      <c r="S5" s="3" t="inlineStr">
        <is>
          <t>Business Fiber 300: $70.00/mo</t>
        </is>
      </c>
      <c r="T5" s="5" t="inlineStr">
        <is>
          <t>https://www.business.org/services/internet/att-business-internet-review/</t>
        </is>
      </c>
      <c r="U5" s="5" t="inlineStr">
        <is>
          <t>2026</t>
        </is>
      </c>
      <c r="V5" s="5" t="inlineStr">
        <is>
          <t>simmons-bank</t>
        </is>
      </c>
      <c r="W5" s="12" t="n">
        <v>-39654.109668</v>
      </c>
      <c r="X5" s="5" t="n">
        <v>127</v>
      </c>
      <c r="Y5" s="3" t="inlineStr">
        <is>
          <t>simmons-bank -39,654</t>
        </is>
      </c>
      <c r="Z5" s="3" t="inlineStr">
        <is>
          <t>250 Mbps at 114 &gt; 300 Mbps at 70 USD</t>
        </is>
      </c>
      <c r="AA5" s="3" t="inlineStr">
        <is>
          <t>simmons-bank 70 USD</t>
        </is>
      </c>
      <c r="AB5" s="7" t="n"/>
    </row>
    <row r="6">
      <c r="A6" s="5" t="inlineStr">
        <is>
          <t>ZA-DIA-100-researched</t>
        </is>
      </c>
      <c r="B6" s="5" t="inlineStr">
        <is>
          <t>ZA</t>
        </is>
      </c>
      <c r="C6" s="5" t="inlineStr">
        <is>
          <t>DIA</t>
        </is>
      </c>
      <c r="D6" s="5" t="n">
        <v>100</v>
      </c>
      <c r="E6" s="6" t="inlineStr">
        <is>
          <t>held by Christian Bartosch</t>
        </is>
      </c>
      <c r="F6" s="7" t="inlineStr">
        <is>
          <t>Hold</t>
        </is>
      </c>
      <c r="G6" s="8" t="inlineStr">
        <is>
          <t>MWCom 'from around R8,000'; the same research gives R8,000-25,000 depending on distance and capacity.</t>
        </is>
      </c>
      <c r="H6" s="9">
        <f>J6*0.75</f>
        <v/>
      </c>
      <c r="I6" s="9">
        <f>J6*1.25</f>
        <v/>
      </c>
      <c r="J6" s="10" t="n">
        <v>8000</v>
      </c>
      <c r="K6" s="5" t="inlineStr">
        <is>
          <t>ZAR</t>
        </is>
      </c>
      <c r="L6" s="10" t="n">
        <v>444.44</v>
      </c>
      <c r="M6" s="10" t="n"/>
      <c r="N6" s="11">
        <f>IF(OR(L6="",M6=""),"",L6/M6)</f>
        <v/>
      </c>
      <c r="O6" s="5" t="inlineStr">
        <is>
          <t>none - new tier</t>
        </is>
      </c>
      <c r="P6" s="3" t="inlineStr">
        <is>
          <t>floor; read from a snippet</t>
        </is>
      </c>
      <c r="Q6" s="3" t="inlineStr">
        <is>
          <t>DIA 100 Mbps MRC ZA (leased line / dedicated fibre)</t>
        </is>
      </c>
      <c r="R6" s="5" t="inlineStr">
        <is>
          <t>mwcom.co.za; COMPANY_PUBLISHED/SNIPPET_ONLY</t>
        </is>
      </c>
      <c r="S6" s="3" t="inlineStr">
        <is>
          <t>Leased lines start from around R8,000/mo for 100 Mbps symmetric.</t>
        </is>
      </c>
      <c r="T6" s="5" t="inlineStr">
        <is>
          <t>https://www.mwcom.co.za/business-internet-south-africa</t>
        </is>
      </c>
      <c r="U6" s="5" t="inlineStr">
        <is>
          <t>2026</t>
        </is>
      </c>
      <c r="V6" s="5" t="inlineStr">
        <is>
          <t>not recorded</t>
        </is>
      </c>
      <c r="W6" s="12" t="n">
        <v>-16474.2432</v>
      </c>
      <c r="X6" s="5" t="n">
        <v>1</v>
      </c>
      <c r="Y6" s="3" t="inlineStr">
        <is>
          <t>anglo-american -16,474</t>
        </is>
      </c>
      <c r="Z6" s="3" t="inlineStr">
        <is>
          <t>no</t>
        </is>
      </c>
      <c r="AA6" s="3" t="inlineStr"/>
      <c r="AB6" s="7" t="n"/>
    </row>
    <row r="7">
      <c r="A7" s="5" t="inlineStr">
        <is>
          <t>AU-BROADBAND_HFC-250-researched</t>
        </is>
      </c>
      <c r="B7" s="5" t="inlineStr">
        <is>
          <t>AU</t>
        </is>
      </c>
      <c r="C7" s="5" t="inlineStr">
        <is>
          <t>BROADBAND_HFC</t>
        </is>
      </c>
      <c r="D7" s="5" t="n">
        <v>250</v>
      </c>
      <c r="E7" s="13" t="inlineStr">
        <is>
          <t>approved by Christian Bartosch</t>
        </is>
      </c>
      <c r="F7" s="7" t="inlineStr">
        <is>
          <t>Approve</t>
        </is>
      </c>
      <c r="G7" s="8" t="inlineStr">
        <is>
          <t>Swoop's published standard business nbn 250/100 price of A$104/month. The introductory discount is excluded.</t>
        </is>
      </c>
      <c r="H7" s="9">
        <f>J7*0.75</f>
        <v/>
      </c>
      <c r="I7" s="9">
        <f>J7*1.25</f>
        <v/>
      </c>
      <c r="J7" s="10" t="n">
        <v>104</v>
      </c>
      <c r="K7" s="5" t="inlineStr">
        <is>
          <t>AUD</t>
        </is>
      </c>
      <c r="L7" s="10" t="n">
        <v>70.27</v>
      </c>
      <c r="M7" s="10" t="n">
        <v>155</v>
      </c>
      <c r="N7" s="11">
        <f>IF(OR(L7="",M7=""),"",L7/M7)</f>
        <v/>
      </c>
      <c r="O7" s="5" t="inlineStr">
        <is>
          <t>SEED</t>
        </is>
      </c>
      <c r="P7" s="3" t="inlineStr">
        <is>
          <t>single source; re-prices lower tiers</t>
        </is>
      </c>
      <c r="Q7" s="3" t="inlineStr"/>
      <c r="R7" s="5" t="inlineStr">
        <is>
          <t>traced in review; REVIEWER_TRACED</t>
        </is>
      </c>
      <c r="S7" s="3" t="inlineStr">
        <is>
          <t>ise NBN (symmetric, SLA-backed) list prices in AUD excl. GST: 100/100 Mbps A$399/mo, 250/250 Mbps A$399/mo, 500/500 Mbps A$469/mo, 1000/1000 Mbps A$699/mo (36-month term). Swoop published business NBN prices: 250 Mbps A$104/mo (FTTP), 1000 Mbps A$129/mo (FTTP/HFC). Kookaburra Comms (trade press, 2026) cites typical published range A$400 for 100-250 Mbps to A$700-A$1,500 for 1 Gbps</t>
        </is>
      </c>
      <c r="T7" s="5" t="inlineStr">
        <is>
          <t>https://www.swoop.com.au/business/nbn/</t>
        </is>
      </c>
      <c r="U7" s="5" t="inlineStr">
        <is>
          <t>2025</t>
        </is>
      </c>
      <c r="V7" s="5" t="inlineStr">
        <is>
          <t>woolworths</t>
        </is>
      </c>
      <c r="W7" s="12" t="n">
        <v>-925814.4972972973</v>
      </c>
      <c r="X7" s="5" t="n">
        <v>1130</v>
      </c>
      <c r="Y7" s="3" t="inlineStr">
        <is>
          <t>woolworths -925,814</t>
        </is>
      </c>
      <c r="Z7" s="3" t="inlineStr">
        <is>
          <t>100 Mbps at 115 &gt; 250 Mbps at 70 USD; 1000 Mbps at 250 &gt; 2000 Mbps at 149 USD</t>
        </is>
      </c>
      <c r="AA7" s="3" t="inlineStr"/>
      <c r="AB7" s="7" t="inlineStr">
        <is>
          <t>https://www.swoop.com.au/business/nbn/</t>
        </is>
      </c>
    </row>
    <row r="8">
      <c r="A8" s="5" t="inlineStr">
        <is>
          <t>AU-BROADBAND_HFC-2000-researched</t>
        </is>
      </c>
      <c r="B8" s="5" t="inlineStr">
        <is>
          <t>AU</t>
        </is>
      </c>
      <c r="C8" s="5" t="inlineStr">
        <is>
          <t>BROADBAND_HFC</t>
        </is>
      </c>
      <c r="D8" s="5" t="n">
        <v>2000</v>
      </c>
      <c r="E8" s="13" t="inlineStr">
        <is>
          <t>approved by Christian Bartosch</t>
        </is>
      </c>
      <c r="F8" s="7" t="inlineStr">
        <is>
          <t>Approve</t>
        </is>
      </c>
      <c r="G8" s="8" t="inlineStr">
        <is>
          <t>Aussie Broadband business Hyperfast 2000, published; a trade guide puts business fibre plans at A$100-220.</t>
        </is>
      </c>
      <c r="H8" s="9">
        <f>J8*0.75</f>
        <v/>
      </c>
      <c r="I8" s="9">
        <f>J8*1.25</f>
        <v/>
      </c>
      <c r="J8" s="10" t="n">
        <v>220</v>
      </c>
      <c r="K8" s="5" t="inlineStr">
        <is>
          <t>AUD</t>
        </is>
      </c>
      <c r="L8" s="10" t="n">
        <v>148.65</v>
      </c>
      <c r="M8" s="10" t="n"/>
      <c r="N8" s="11">
        <f>IF(OR(L8="",M8=""),"",L8/M8)</f>
        <v/>
      </c>
      <c r="O8" s="5" t="inlineStr">
        <is>
          <t>none - new tier</t>
        </is>
      </c>
      <c r="P8" s="3" t="inlineStr">
        <is>
          <t>read from a snippet; re-prices lower tiers</t>
        </is>
      </c>
      <c r="Q8" s="3" t="inlineStr">
        <is>
          <t>BROADBAND_HFC AU 2000Mbps MRC (Aussie Broadband Business Hyperfast HFC)</t>
        </is>
      </c>
      <c r="R8" s="5" t="inlineStr">
        <is>
          <t>Aussie Broadband / WhistleOut; AGGREGATOR/SNIPPET_ONLY</t>
        </is>
      </c>
      <c r="S8" s="3" t="inlineStr">
        <is>
          <t>Aussie Broadband FTTP Business Hyperfast Plus 2000/500 Unlimited Data $220/mth</t>
        </is>
      </c>
      <c r="T8" s="5" t="inlineStr">
        <is>
          <t>https://www.whistleout.com.au/Broadband/Guides/NBN-business-plans-compared</t>
        </is>
      </c>
      <c r="U8" s="5" t="inlineStr">
        <is>
          <t>2026</t>
        </is>
      </c>
      <c r="V8" s="5" t="inlineStr">
        <is>
          <t>woolworths</t>
        </is>
      </c>
      <c r="W8" s="12" t="n">
        <v>0</v>
      </c>
      <c r="X8" s="5" t="n">
        <v>0</v>
      </c>
      <c r="Y8" s="3" t="inlineStr"/>
      <c r="Z8" s="3" t="inlineStr">
        <is>
          <t>100 Mbps at 115 &gt; 250 Mbps at 70 USD; 1000 Mbps at 250 &gt; 2000 Mbps at 149 USD</t>
        </is>
      </c>
      <c r="AA8" s="3" t="inlineStr">
        <is>
          <t>woolworths 220 AUD</t>
        </is>
      </c>
      <c r="AB8" s="7" t="n"/>
    </row>
    <row r="9">
      <c r="A9" s="5" t="inlineStr">
        <is>
          <t>AU-BROADBAND_PON-250-researched</t>
        </is>
      </c>
      <c r="B9" s="5" t="inlineStr">
        <is>
          <t>AU</t>
        </is>
      </c>
      <c r="C9" s="5" t="inlineStr">
        <is>
          <t>BROADBAND_PON</t>
        </is>
      </c>
      <c r="D9" s="5" t="n">
        <v>250</v>
      </c>
      <c r="E9" s="13" t="inlineStr">
        <is>
          <t>approved by Christian Bartosch</t>
        </is>
      </c>
      <c r="F9" s="7" t="inlineStr">
        <is>
          <t>Approve</t>
        </is>
      </c>
      <c r="G9" s="8" t="inlineStr">
        <is>
          <t>Aussie Broadband business FTTP 250/100, published by the provider and confirmed by an aggregator.</t>
        </is>
      </c>
      <c r="H9" s="9">
        <f>J9*0.75</f>
        <v/>
      </c>
      <c r="I9" s="9">
        <f>J9*1.25</f>
        <v/>
      </c>
      <c r="J9" s="10" t="n">
        <v>114</v>
      </c>
      <c r="K9" s="5" t="inlineStr">
        <is>
          <t>AUD</t>
        </is>
      </c>
      <c r="L9" s="10" t="n">
        <v>77.03</v>
      </c>
      <c r="M9" s="10" t="n">
        <v>101</v>
      </c>
      <c r="N9" s="11">
        <f>IF(OR(L9="",M9=""),"",L9/M9)</f>
        <v/>
      </c>
      <c r="O9" s="5" t="inlineStr">
        <is>
          <t>SEED</t>
        </is>
      </c>
      <c r="P9" s="3" t="inlineStr">
        <is>
          <t>read from a snippet</t>
        </is>
      </c>
      <c r="Q9" s="3" t="inlineStr">
        <is>
          <t>BROADBAND_PON AU 250Mbps MRC (Aussie Broadband Business FTTP 250/100)</t>
        </is>
      </c>
      <c r="R9" s="5" t="inlineStr">
        <is>
          <t>Aussie Broadband Enterprise; COMPANY_PUBLISHED/SNIPPET_ONLY</t>
        </is>
      </c>
      <c r="S9" s="3" t="inlineStr">
        <is>
          <t>Superfast Plus 250/100 $114/month</t>
        </is>
      </c>
      <c r="T9" s="5" t="inlineStr">
        <is>
          <t>https://www.aussiebroadband.com.au/enterprise/internet/nbn-plans/</t>
        </is>
      </c>
      <c r="U9" s="5" t="inlineStr">
        <is>
          <t>2026</t>
        </is>
      </c>
      <c r="V9" s="5" t="inlineStr">
        <is>
          <t>woolworths</t>
        </is>
      </c>
      <c r="W9" s="12" t="n">
        <v>0</v>
      </c>
      <c r="X9" s="5" t="n">
        <v>0</v>
      </c>
      <c r="Y9" s="3" t="inlineStr"/>
      <c r="Z9" s="3" t="inlineStr">
        <is>
          <t>no</t>
        </is>
      </c>
      <c r="AA9" s="3" t="inlineStr">
        <is>
          <t>woolworths 114 AUD</t>
        </is>
      </c>
      <c r="AB9" s="7" t="n"/>
    </row>
    <row r="10">
      <c r="A10" s="5" t="inlineStr">
        <is>
          <t>AU-DIA-250-researched</t>
        </is>
      </c>
      <c r="B10" s="5" t="inlineStr">
        <is>
          <t>AU</t>
        </is>
      </c>
      <c r="C10" s="5" t="inlineStr">
        <is>
          <t>DIA</t>
        </is>
      </c>
      <c r="D10" s="5" t="n">
        <v>250</v>
      </c>
      <c r="E10" s="13" t="inlineStr">
        <is>
          <t>approved by Christian Bartosch</t>
        </is>
      </c>
      <c r="F10" s="7" t="inlineStr">
        <is>
          <t>Approve</t>
        </is>
      </c>
      <c r="G10" s="8" t="inlineStr">
        <is>
          <t>Vocus Fast Fibre 250/250: dedicated 1:1 fibre with internet, a static IP and a 4-hour restoration SLA, at its on-net 48-month price ex GST. Second sources sit within 18%: Telair resells it at A$349 on 36 months, and Vocus and Swoop sell 250/250 nbn Enterprise Ethernet at A$399. The band runs from the 48-month price to the 36-month Enterprise Ethernet one. The A$2,500-8,000 in the same research is data-centre-grade carrier fibre, which no seller publishes.</t>
        </is>
      </c>
      <c r="H10" s="9" t="n">
        <v>339</v>
      </c>
      <c r="I10" s="9" t="n">
        <v>399</v>
      </c>
      <c r="J10" s="10" t="n">
        <v>339</v>
      </c>
      <c r="K10" s="5" t="inlineStr">
        <is>
          <t>AUD</t>
        </is>
      </c>
      <c r="L10" s="10" t="n">
        <v>229.05</v>
      </c>
      <c r="M10" s="10" t="n"/>
      <c r="N10" s="11">
        <f>IF(OR(L10="",M10=""),"",L10/M10)</f>
        <v/>
      </c>
      <c r="O10" s="5" t="inlineStr">
        <is>
          <t>none - new tier</t>
        </is>
      </c>
      <c r="P10" s="3" t="inlineStr">
        <is>
          <t>single source</t>
        </is>
      </c>
      <c r="Q10" s="3" t="inlineStr"/>
      <c r="R10" s="5" t="inlineStr">
        <is>
          <t>traced in review; REVIEWER_TRACED</t>
        </is>
      </c>
      <c r="S10" s="3" t="inlineStr">
        <is>
          <t>advertised price ~A$65-80/mo (not enterprise). AU DIA (Dedicated Internet Access – direct fibre): Nexthop AU lists 1 Gbps datacenter DIA at A$499/mo (24-month, on-net); Vocus Fast Fibre (direct fibre, enterprise) from A$339/mo excl. GST for 250 Mbps+. AyeTech 2026 guide cites enterprise dedicated fibre 100 Mbps–1 Gbps at A$2,500–A$8,000/mo for large-enterprise/data-centre grade. N</t>
        </is>
      </c>
      <c r="T10" s="5" t="inlineStr">
        <is>
          <t>https://www.vocus.com.au/enterprise/internet-and-networks</t>
        </is>
      </c>
      <c r="U10" s="5" t="inlineStr">
        <is>
          <t>2025</t>
        </is>
      </c>
      <c r="V10" s="5" t="inlineStr">
        <is>
          <t>woolworths</t>
        </is>
      </c>
      <c r="W10" s="12" t="n">
        <v>-21538.53608108108</v>
      </c>
      <c r="X10" s="5" t="n">
        <v>30</v>
      </c>
      <c r="Y10" s="3" t="inlineStr">
        <is>
          <t>woolworths -21,539</t>
        </is>
      </c>
      <c r="Z10" s="3" t="inlineStr">
        <is>
          <t>no</t>
        </is>
      </c>
      <c r="AA10" s="3" t="inlineStr"/>
      <c r="AB10" s="7" t="inlineStr">
        <is>
          <t>https://www.vocus.com.au/enterprise/internet-and-networks</t>
        </is>
      </c>
    </row>
    <row r="11">
      <c r="A11" s="5" t="inlineStr">
        <is>
          <t>AU-ETHERNET-250-researched</t>
        </is>
      </c>
      <c r="B11" s="5" t="inlineStr">
        <is>
          <t>AU</t>
        </is>
      </c>
      <c r="C11" s="5" t="inlineStr">
        <is>
          <t>ETHERNET</t>
        </is>
      </c>
      <c r="D11" s="5" t="n">
        <v>250</v>
      </c>
      <c r="E11" s="13" t="inlineStr">
        <is>
          <t>approved by Christian Bartosch</t>
        </is>
      </c>
      <c r="F11" s="7" t="inlineStr">
        <is>
          <t>Approve</t>
        </is>
      </c>
      <c r="G11" s="8" t="inlineStr">
        <is>
          <t>NBN Enterprise Ethernet retail, ex GST, 36-month: Swoop and Vocus publish the same A$399.</t>
        </is>
      </c>
      <c r="H11" s="9">
        <f>J11*0.75</f>
        <v/>
      </c>
      <c r="I11" s="9">
        <f>J11*1.25</f>
        <v/>
      </c>
      <c r="J11" s="10" t="n">
        <v>399</v>
      </c>
      <c r="K11" s="5" t="inlineStr">
        <is>
          <t>AUD</t>
        </is>
      </c>
      <c r="L11" s="10" t="n">
        <v>269.59</v>
      </c>
      <c r="M11" s="10" t="n"/>
      <c r="N11" s="11">
        <f>IF(OR(L11="",M11=""),"",L11/M11)</f>
        <v/>
      </c>
      <c r="O11" s="5" t="inlineStr">
        <is>
          <t>none - new tier</t>
        </is>
      </c>
      <c r="P11" s="3" t="inlineStr">
        <is>
          <t>wholesale; floor; read from a snippet</t>
        </is>
      </c>
      <c r="Q11" s="3" t="inlineStr">
        <is>
          <t>ETHERNET AU 250Mbps MRC (NBN Enterprise Ethernet retail, ex GST)</t>
        </is>
      </c>
      <c r="R11" s="5" t="inlineStr">
        <is>
          <t>Swoop; COMPANY_PUBLISHED/SNIPPET_ONLY</t>
        </is>
      </c>
      <c r="S11" s="3" t="inlineStr">
        <is>
          <t>Business Fibre 250/250 Mbps $399 per month</t>
        </is>
      </c>
      <c r="T11" s="5" t="inlineStr">
        <is>
          <t>https://www.swoop.com.au/business/enterprise-ethernet/</t>
        </is>
      </c>
      <c r="U11" s="5" t="inlineStr">
        <is>
          <t>2026</t>
        </is>
      </c>
      <c r="V11" s="5" t="inlineStr">
        <is>
          <t>woolworths</t>
        </is>
      </c>
      <c r="W11" s="12" t="n">
        <v>-2472.04054054054</v>
      </c>
      <c r="X11" s="5" t="n">
        <v>5</v>
      </c>
      <c r="Y11" s="3" t="inlineStr">
        <is>
          <t>woolworths -2,472</t>
        </is>
      </c>
      <c r="Z11" s="3" t="inlineStr">
        <is>
          <t>no</t>
        </is>
      </c>
      <c r="AA11" s="3" t="inlineStr">
        <is>
          <t>woolworths 399 AUD</t>
        </is>
      </c>
      <c r="AB11" s="7" t="n"/>
    </row>
    <row r="12">
      <c r="A12" s="5" t="inlineStr">
        <is>
          <t>AU-ETHERNET-500-researched</t>
        </is>
      </c>
      <c r="B12" s="5" t="inlineStr">
        <is>
          <t>AU</t>
        </is>
      </c>
      <c r="C12" s="5" t="inlineStr">
        <is>
          <t>ETHERNET</t>
        </is>
      </c>
      <c r="D12" s="5" t="n">
        <v>500</v>
      </c>
      <c r="E12" s="13" t="inlineStr">
        <is>
          <t>approved by Christian Bartosch</t>
        </is>
      </c>
      <c r="F12" s="7" t="inlineStr">
        <is>
          <t>Approve</t>
        </is>
      </c>
      <c r="G12" s="8" t="inlineStr">
        <is>
          <t>NBN Enterprise Ethernet retail, ex GST, 36-month: Vocus A$469, Swoop A$499.</t>
        </is>
      </c>
      <c r="H12" s="9">
        <f>J12*0.75</f>
        <v/>
      </c>
      <c r="I12" s="9">
        <f>J12*1.25</f>
        <v/>
      </c>
      <c r="J12" s="10" t="n">
        <v>469</v>
      </c>
      <c r="K12" s="5" t="inlineStr">
        <is>
          <t>AUD</t>
        </is>
      </c>
      <c r="L12" s="10" t="n">
        <v>316.89</v>
      </c>
      <c r="M12" s="10" t="n">
        <v>1288</v>
      </c>
      <c r="N12" s="11">
        <f>IF(OR(L12="",M12=""),"",L12/M12)</f>
        <v/>
      </c>
      <c r="O12" s="5" t="inlineStr">
        <is>
          <t>SEED</t>
        </is>
      </c>
      <c r="P12" s="3" t="inlineStr">
        <is>
          <t>floor; read from a snippet</t>
        </is>
      </c>
      <c r="Q12" s="3" t="inlineStr">
        <is>
          <t>ETHERNET AU 500Mbps MRC (NBN Enterprise Ethernet retail, ex GST)</t>
        </is>
      </c>
      <c r="R12" s="5" t="inlineStr">
        <is>
          <t>Vocus; COMPANY_PUBLISHED/SNIPPET_ONLY</t>
        </is>
      </c>
      <c r="S12" s="3" t="inlineStr">
        <is>
          <t>500/500Mbps Starting at $469 / per month (ex. GST)</t>
        </is>
      </c>
      <c r="T12" s="5" t="inlineStr">
        <is>
          <t>https://www.vocus.com.au/enterprise/internet-and-networks/nbn-enterprise-ethernet</t>
        </is>
      </c>
      <c r="U12" s="5" t="inlineStr">
        <is>
          <t>2026</t>
        </is>
      </c>
      <c r="V12" s="5" t="inlineStr">
        <is>
          <t>woolworths</t>
        </is>
      </c>
      <c r="W12" s="12" t="n">
        <v>0</v>
      </c>
      <c r="X12" s="5" t="n">
        <v>0</v>
      </c>
      <c r="Y12" s="3" t="inlineStr"/>
      <c r="Z12" s="3" t="inlineStr">
        <is>
          <t>no</t>
        </is>
      </c>
      <c r="AA12" s="3" t="inlineStr">
        <is>
          <t>woolworths 469 AUD</t>
        </is>
      </c>
      <c r="AB12" s="7" t="n"/>
    </row>
    <row r="13">
      <c r="A13" s="5" t="inlineStr">
        <is>
          <t>AU-ETHERNET-1000-researched</t>
        </is>
      </c>
      <c r="B13" s="5" t="inlineStr">
        <is>
          <t>AU</t>
        </is>
      </c>
      <c r="C13" s="5" t="inlineStr">
        <is>
          <t>ETHERNET</t>
        </is>
      </c>
      <c r="D13" s="5" t="n">
        <v>1000</v>
      </c>
      <c r="E13" s="13" t="inlineStr">
        <is>
          <t>approved by Christian Bartosch</t>
        </is>
      </c>
      <c r="F13" s="7" t="inlineStr">
        <is>
          <t>Approve</t>
        </is>
      </c>
      <c r="G13" s="8" t="inlineStr">
        <is>
          <t>NBN Enterprise Ethernet retail, ex GST, 36-month: Swoop and Vocus A$699, Telstra via Telair A$659.</t>
        </is>
      </c>
      <c r="H13" s="9">
        <f>J13*0.75</f>
        <v/>
      </c>
      <c r="I13" s="9">
        <f>J13*1.25</f>
        <v/>
      </c>
      <c r="J13" s="10" t="n">
        <v>699</v>
      </c>
      <c r="K13" s="5" t="inlineStr">
        <is>
          <t>AUD</t>
        </is>
      </c>
      <c r="L13" s="10" t="n">
        <v>472.3</v>
      </c>
      <c r="M13" s="10" t="n">
        <v>1450</v>
      </c>
      <c r="N13" s="11">
        <f>IF(OR(L13="",M13=""),"",L13/M13)</f>
        <v/>
      </c>
      <c r="O13" s="5" t="inlineStr">
        <is>
          <t>SEED</t>
        </is>
      </c>
      <c r="P13" s="3" t="inlineStr">
        <is>
          <t>floor; read from a snippet</t>
        </is>
      </c>
      <c r="Q13" s="3" t="inlineStr">
        <is>
          <t>ETHERNET AU 1000Mbps MRC (NBN Enterprise Ethernet retail, ex GST)</t>
        </is>
      </c>
      <c r="R13" s="5" t="inlineStr">
        <is>
          <t>Swoop; COMPANY_PUBLISHED/SNIPPET_ONLY</t>
        </is>
      </c>
      <c r="S13" s="3" t="inlineStr">
        <is>
          <t>Business Fibre 1000/1000 Mbps $699 per month</t>
        </is>
      </c>
      <c r="T13" s="5" t="inlineStr">
        <is>
          <t>https://www.swoop.com.au/business/enterprise-ethernet/</t>
        </is>
      </c>
      <c r="U13" s="5" t="inlineStr">
        <is>
          <t>2026</t>
        </is>
      </c>
      <c r="V13" s="5" t="inlineStr">
        <is>
          <t>woolworths</t>
        </is>
      </c>
      <c r="W13" s="12" t="n">
        <v>-359538.4892202162</v>
      </c>
      <c r="X13" s="5" t="n">
        <v>24</v>
      </c>
      <c r="Y13" s="3" t="inlineStr">
        <is>
          <t>rio-tinto -325,779; woolworths -33,759</t>
        </is>
      </c>
      <c r="Z13" s="3" t="inlineStr">
        <is>
          <t>no</t>
        </is>
      </c>
      <c r="AA13" s="3" t="inlineStr">
        <is>
          <t>woolworths 699 AUD</t>
        </is>
      </c>
      <c r="AB13" s="7" t="n"/>
    </row>
    <row r="14">
      <c r="A14" s="5" t="inlineStr">
        <is>
          <t>BE-BROADBAND_PON-150-researched</t>
        </is>
      </c>
      <c r="B14" s="5" t="inlineStr">
        <is>
          <t>BE</t>
        </is>
      </c>
      <c r="C14" s="5" t="inlineStr">
        <is>
          <t>BROADBAND_PON</t>
        </is>
      </c>
      <c r="D14" s="5" t="n">
        <v>150</v>
      </c>
      <c r="E14" s="13" t="inlineStr">
        <is>
          <t>approved by Christian Bartosch</t>
        </is>
      </c>
      <c r="F14" s="7" t="inlineStr">
        <is>
          <t>Approve</t>
        </is>
      </c>
      <c r="G14" s="8" t="inlineStr">
        <is>
          <t>Proximus Business Go Fiber 150, the standard price after the 12-month promotion, ex VAT, read from the full page.</t>
        </is>
      </c>
      <c r="H14" s="9">
        <f>J14*0.75</f>
        <v/>
      </c>
      <c r="I14" s="9">
        <f>J14*1.25</f>
        <v/>
      </c>
      <c r="J14" s="10" t="n">
        <v>60</v>
      </c>
      <c r="K14" s="5" t="inlineStr">
        <is>
          <t>EUR</t>
        </is>
      </c>
      <c r="L14" s="10" t="n">
        <v>68.88</v>
      </c>
      <c r="M14" s="10" t="n"/>
      <c r="N14" s="11">
        <f>IF(OR(L14="",M14=""),"",L14/M14)</f>
        <v/>
      </c>
      <c r="O14" s="5" t="inlineStr">
        <is>
          <t>none - new tier</t>
        </is>
      </c>
      <c r="P14" s="3" t="inlineStr">
        <is>
          <t>promotional; single source</t>
        </is>
      </c>
      <c r="Q14" s="3" t="inlineStr">
        <is>
          <t>BROADBAND_PON 150 Mbps MRC (business shared fibre, Proximus Go Fiber)</t>
        </is>
      </c>
      <c r="R14" s="5" t="inlineStr">
        <is>
          <t>Proximus (proximus.be); COMPANY_PUBLISHED/FULL_PAGE</t>
        </is>
      </c>
      <c r="S14" s="3" t="inlineStr">
        <is>
          <t>Business Internet Go Fiber 150 Mbps: €45/month during 12 months, then €60/month</t>
        </is>
      </c>
      <c r="T14" s="5" t="inlineStr">
        <is>
          <t>https://www.proximus.be/en/business/internet-subscription</t>
        </is>
      </c>
      <c r="U14" s="5" t="inlineStr">
        <is>
          <t>2025</t>
        </is>
      </c>
      <c r="V14" s="5" t="inlineStr">
        <is>
          <t>bnp-paribas</t>
        </is>
      </c>
      <c r="W14" s="12" t="n">
        <v>0</v>
      </c>
      <c r="X14" s="5" t="n">
        <v>0</v>
      </c>
      <c r="Y14" s="3" t="inlineStr"/>
      <c r="Z14" s="3" t="inlineStr">
        <is>
          <t>no</t>
        </is>
      </c>
      <c r="AA14" s="3" t="inlineStr">
        <is>
          <t>bnp-paribas 60 EUR</t>
        </is>
      </c>
      <c r="AB14" s="7" t="n"/>
    </row>
    <row r="15">
      <c r="A15" s="5" t="inlineStr">
        <is>
          <t>FR-DIA-1000-researched</t>
        </is>
      </c>
      <c r="B15" s="5" t="inlineStr">
        <is>
          <t>FR</t>
        </is>
      </c>
      <c r="C15" s="5" t="inlineStr">
        <is>
          <t>DIA</t>
        </is>
      </c>
      <c r="D15" s="5" t="n">
        <v>1000</v>
      </c>
      <c r="E15" s="13" t="inlineStr">
        <is>
          <t>approved by Christian Bartosch</t>
        </is>
      </c>
      <c r="F15" s="7" t="inlineStr">
        <is>
          <t>Approve</t>
        </is>
      </c>
      <c r="G15" s="8" t="inlineStr">
        <is>
          <t>Orange Business FTTO 1 Gbps, approximately EUR 1,200 per a trade-press snippet. It sits close to the seed (0.91x).</t>
        </is>
      </c>
      <c r="H15" s="9">
        <f>J15*0.75</f>
        <v/>
      </c>
      <c r="I15" s="9">
        <f>J15*1.25</f>
        <v/>
      </c>
      <c r="J15" s="10" t="n">
        <v>1200</v>
      </c>
      <c r="K15" s="5" t="inlineStr">
        <is>
          <t>EUR</t>
        </is>
      </c>
      <c r="L15" s="10" t="n">
        <v>1377.57</v>
      </c>
      <c r="M15" s="10" t="n">
        <v>1520</v>
      </c>
      <c r="N15" s="11">
        <f>IF(OR(L15="",M15=""),"",L15/M15)</f>
        <v/>
      </c>
      <c r="O15" s="5" t="inlineStr">
        <is>
          <t>SEED</t>
        </is>
      </c>
      <c r="P15" s="3" t="inlineStr">
        <is>
          <t>single source; read from a snippet; re-prices lower tiers</t>
        </is>
      </c>
      <c r="Q15" s="3" t="inlineStr">
        <is>
          <t>DIA 1000 Mbps MRC France (Orange Business FTTO dedicated fibre)</t>
        </is>
      </c>
      <c r="R15" s="5" t="inlineStr">
        <is>
          <t>myadsl.fr; TRADE_PRESS/SNIPPET_ONLY</t>
        </is>
      </c>
      <c r="S15" s="3" t="inlineStr">
        <is>
          <t>Offre intermédiaire: 1 Gb/s, SLA amélioré, support 24/7 – tarif mensuel approximatif: 1 200 €</t>
        </is>
      </c>
      <c r="T15" s="5" t="inlineStr">
        <is>
          <t>https://www.myadsl.fr/cout-ftto-orange-2025/</t>
        </is>
      </c>
      <c r="U15" s="5" t="inlineStr">
        <is>
          <t>2025</t>
        </is>
      </c>
      <c r="V15" s="5" t="inlineStr">
        <is>
          <t>bnp-paribas</t>
        </is>
      </c>
      <c r="W15" s="12" t="n">
        <v>-92071.34274275</v>
      </c>
      <c r="X15" s="5" t="n">
        <v>62</v>
      </c>
      <c r="Y15" s="3" t="inlineStr">
        <is>
          <t>bnp-paribas -29,777; siemens -26,800; basf -8,933</t>
        </is>
      </c>
      <c r="Z15" s="3" t="inlineStr">
        <is>
          <t>500 Mbps at 1398 &gt; 1000 Mbps at 1378 USD</t>
        </is>
      </c>
      <c r="AA15" s="3" t="inlineStr">
        <is>
          <t>bnp-paribas ~1200 EUR</t>
        </is>
      </c>
      <c r="AB15" s="7" t="n"/>
    </row>
    <row r="16">
      <c r="A16" s="5" t="inlineStr">
        <is>
          <t>GB-BROADBAND_HFC-200-researched</t>
        </is>
      </c>
      <c r="B16" s="5" t="inlineStr">
        <is>
          <t>GB</t>
        </is>
      </c>
      <c r="C16" s="5" t="inlineStr">
        <is>
          <t>BROADBAND_HFC</t>
        </is>
      </c>
      <c r="D16" s="5" t="n">
        <v>200</v>
      </c>
      <c r="E16" s="13" t="inlineStr">
        <is>
          <t>approved by Christian Bartosch</t>
        </is>
      </c>
      <c r="F16" s="7" t="inlineStr">
        <is>
          <t>Approve</t>
        </is>
      </c>
      <c r="G16" s="8" t="inlineStr">
        <is>
          <t>Virgin Media Business Voom 200, published, ex VAT, 24-month.</t>
        </is>
      </c>
      <c r="H16" s="9">
        <f>J16*0.75</f>
        <v/>
      </c>
      <c r="I16" s="9">
        <f>J16*1.25</f>
        <v/>
      </c>
      <c r="J16" s="10" t="n">
        <v>29.95</v>
      </c>
      <c r="K16" s="5" t="inlineStr">
        <is>
          <t>GBP</t>
        </is>
      </c>
      <c r="L16" s="10" t="n">
        <v>40.13</v>
      </c>
      <c r="M16" s="10" t="n"/>
      <c r="N16" s="11">
        <f>IF(OR(L16="",M16=""),"",L16/M16)</f>
        <v/>
      </c>
      <c r="O16" s="5" t="inlineStr">
        <is>
          <t>none - new tier</t>
        </is>
      </c>
      <c r="P16" s="3" t="inlineStr">
        <is>
          <t>floor; read from a snippet; re-prices lower tiers</t>
        </is>
      </c>
      <c r="Q16" s="3" t="inlineStr">
        <is>
          <t>BROADBAND_HFC 200Mbps MRC (Virgin Media Business Voom 200)</t>
        </is>
      </c>
      <c r="R16" s="5" t="inlineStr">
        <is>
          <t>virginmediabusiness.co.uk; COMPANY_PUBLISHED/SNIPPET_ONLY</t>
        </is>
      </c>
      <c r="S16" s="3" t="inlineStr">
        <is>
          <t>Prices start from just £29.95 per month</t>
        </is>
      </c>
      <c r="T16" s="5" t="inlineStr">
        <is>
          <t>https://www.virginmediabusiness.co.uk/connectivity/internet-access/business-broadband/</t>
        </is>
      </c>
      <c r="U16" s="5" t="inlineStr">
        <is>
          <t>2026</t>
        </is>
      </c>
      <c r="V16" s="5" t="inlineStr">
        <is>
          <t>boots</t>
        </is>
      </c>
      <c r="W16" s="12" t="n">
        <v>-421041.3935414713</v>
      </c>
      <c r="X16" s="5" t="n">
        <v>5864</v>
      </c>
      <c r="Y16" s="3" t="inlineStr">
        <is>
          <t>tesco -269,489; boots -151,552</t>
        </is>
      </c>
      <c r="Z16" s="3" t="inlineStr">
        <is>
          <t>100 Mbps at 80 &gt; 200 Mbps at 40 USD; 250 Mbps at 108 &gt; 400 Mbps at 47 USD; 500 Mbps at 140 &gt; 600 Mbps at 52 USD</t>
        </is>
      </c>
      <c r="AA16" s="3" t="inlineStr">
        <is>
          <t>boots 29.95 GBP</t>
        </is>
      </c>
      <c r="AB16" s="7" t="n"/>
    </row>
    <row r="17">
      <c r="A17" s="5" t="inlineStr">
        <is>
          <t>GB-BROADBAND_HFC-400-researched</t>
        </is>
      </c>
      <c r="B17" s="5" t="inlineStr">
        <is>
          <t>GB</t>
        </is>
      </c>
      <c r="C17" s="5" t="inlineStr">
        <is>
          <t>BROADBAND_HFC</t>
        </is>
      </c>
      <c r="D17" s="5" t="n">
        <v>400</v>
      </c>
      <c r="E17" s="13" t="inlineStr">
        <is>
          <t>approved by Christian Bartosch</t>
        </is>
      </c>
      <c r="F17" s="7" t="inlineStr">
        <is>
          <t>Approve</t>
        </is>
      </c>
      <c r="G17" s="8" t="inlineStr">
        <is>
          <t>Virgin Media Business Voom 400, published, ex VAT, 24-month.</t>
        </is>
      </c>
      <c r="H17" s="9">
        <f>J17*0.75</f>
        <v/>
      </c>
      <c r="I17" s="9">
        <f>J17*1.25</f>
        <v/>
      </c>
      <c r="J17" s="10" t="n">
        <v>34.95</v>
      </c>
      <c r="K17" s="5" t="inlineStr">
        <is>
          <t>GBP</t>
        </is>
      </c>
      <c r="L17" s="10" t="n">
        <v>46.83</v>
      </c>
      <c r="M17" s="10" t="n"/>
      <c r="N17" s="11">
        <f>IF(OR(L17="",M17=""),"",L17/M17)</f>
        <v/>
      </c>
      <c r="O17" s="5" t="inlineStr">
        <is>
          <t>none - new tier</t>
        </is>
      </c>
      <c r="P17" s="3" t="inlineStr">
        <is>
          <t>read from a snippet; re-prices lower tiers</t>
        </is>
      </c>
      <c r="Q17" s="3" t="inlineStr">
        <is>
          <t>BROADBAND_HFC 400Mbps MRC — Virgin Media Business Voom 400</t>
        </is>
      </c>
      <c r="R17" s="5" t="inlineStr">
        <is>
          <t>virginmediabusiness.co.uk; COMPANY_PUBLISHED/SNIPPET_ONLY</t>
        </is>
      </c>
      <c r="S17" s="3" t="inlineStr">
        <is>
          <t>Voom 400 | Download 400Mbps | £34.95 per month</t>
        </is>
      </c>
      <c r="T17" s="5" t="inlineStr">
        <is>
          <t>https://www.virginmediabusiness.co.uk/connectivity/internet-access/business-broadband/</t>
        </is>
      </c>
      <c r="U17" s="5" t="inlineStr">
        <is>
          <t>2026</t>
        </is>
      </c>
      <c r="V17" s="5" t="inlineStr">
        <is>
          <t>not recorded</t>
        </is>
      </c>
      <c r="W17" s="12" t="n">
        <v>-87809.68494200001</v>
      </c>
      <c r="X17" s="5" t="n">
        <v>1507</v>
      </c>
      <c r="Y17" s="3" t="inlineStr">
        <is>
          <t>mcdonalds -87,810</t>
        </is>
      </c>
      <c r="Z17" s="3" t="inlineStr">
        <is>
          <t>100 Mbps at 80 &gt; 200 Mbps at 40 USD; 250 Mbps at 108 &gt; 400 Mbps at 47 USD; 500 Mbps at 140 &gt; 600 Mbps at 52 USD</t>
        </is>
      </c>
      <c r="AA17" s="3" t="inlineStr"/>
      <c r="AB17" s="7" t="n"/>
    </row>
    <row r="18">
      <c r="A18" s="5" t="inlineStr">
        <is>
          <t>GB-BROADBAND_HFC-600-researched</t>
        </is>
      </c>
      <c r="B18" s="5" t="inlineStr">
        <is>
          <t>GB</t>
        </is>
      </c>
      <c r="C18" s="5" t="inlineStr">
        <is>
          <t>BROADBAND_HFC</t>
        </is>
      </c>
      <c r="D18" s="5" t="n">
        <v>600</v>
      </c>
      <c r="E18" s="13" t="inlineStr">
        <is>
          <t>approved by Christian Bartosch</t>
        </is>
      </c>
      <c r="F18" s="7" t="inlineStr">
        <is>
          <t>Approve</t>
        </is>
      </c>
      <c r="G18" s="8" t="inlineStr">
        <is>
          <t>Virgin Media Business Voom 600, published, ex VAT, 24-month.</t>
        </is>
      </c>
      <c r="H18" s="9">
        <f>J18*0.75</f>
        <v/>
      </c>
      <c r="I18" s="9">
        <f>J18*1.25</f>
        <v/>
      </c>
      <c r="J18" s="10" t="n">
        <v>38.95</v>
      </c>
      <c r="K18" s="5" t="inlineStr">
        <is>
          <t>GBP</t>
        </is>
      </c>
      <c r="L18" s="10" t="n">
        <v>52.19</v>
      </c>
      <c r="M18" s="10" t="n"/>
      <c r="N18" s="11">
        <f>IF(OR(L18="",M18=""),"",L18/M18)</f>
        <v/>
      </c>
      <c r="O18" s="5" t="inlineStr">
        <is>
          <t>none - new tier</t>
        </is>
      </c>
      <c r="P18" s="3" t="inlineStr">
        <is>
          <t>read from a snippet; re-prices lower tiers</t>
        </is>
      </c>
      <c r="Q18" s="3" t="inlineStr">
        <is>
          <t>BROADBAND_HFC 600Mbps MRC — Virgin Media Business Voom 600</t>
        </is>
      </c>
      <c r="R18" s="5" t="inlineStr">
        <is>
          <t>virginmediabusiness.co.uk; COMPANY_PUBLISHED/SNIPPET_ONLY</t>
        </is>
      </c>
      <c r="S18" s="3" t="inlineStr">
        <is>
          <t>Voom 600 | Download 600Mbps | £38.95 per month</t>
        </is>
      </c>
      <c r="T18" s="5" t="inlineStr">
        <is>
          <t>https://www.virginmediabusiness.co.uk/connectivity/internet-access/business-broadband/</t>
        </is>
      </c>
      <c r="U18" s="5" t="inlineStr">
        <is>
          <t>2026</t>
        </is>
      </c>
      <c r="V18" s="5" t="inlineStr">
        <is>
          <t>not recorded</t>
        </is>
      </c>
      <c r="W18" s="12" t="n">
        <v>0</v>
      </c>
      <c r="X18" s="5" t="n">
        <v>0</v>
      </c>
      <c r="Y18" s="3" t="inlineStr"/>
      <c r="Z18" s="3" t="inlineStr">
        <is>
          <t>100 Mbps at 80 &gt; 200 Mbps at 40 USD; 250 Mbps at 108 &gt; 400 Mbps at 47 USD; 500 Mbps at 140 &gt; 600 Mbps at 52 USD</t>
        </is>
      </c>
      <c r="AA18" s="3" t="inlineStr"/>
      <c r="AB18" s="7" t="n"/>
    </row>
    <row r="19">
      <c r="A19" s="5" t="inlineStr">
        <is>
          <t>GB-BROADBAND_HFC-1000-researched</t>
        </is>
      </c>
      <c r="B19" s="5" t="inlineStr">
        <is>
          <t>GB</t>
        </is>
      </c>
      <c r="C19" s="5" t="inlineStr">
        <is>
          <t>BROADBAND_HFC</t>
        </is>
      </c>
      <c r="D19" s="5" t="n">
        <v>1000</v>
      </c>
      <c r="E19" s="13" t="inlineStr">
        <is>
          <t>approved by Christian Bartosch</t>
        </is>
      </c>
      <c r="F19" s="7" t="inlineStr">
        <is>
          <t>Approve</t>
        </is>
      </c>
      <c r="G19" s="8" t="inlineStr">
        <is>
          <t>Virgin Media Business Voom Gig1, published, ex VAT, 24-month.</t>
        </is>
      </c>
      <c r="H19" s="9">
        <f>J19*0.75</f>
        <v/>
      </c>
      <c r="I19" s="9">
        <f>J19*1.25</f>
        <v/>
      </c>
      <c r="J19" s="10" t="n">
        <v>43.95</v>
      </c>
      <c r="K19" s="5" t="inlineStr">
        <is>
          <t>GBP</t>
        </is>
      </c>
      <c r="L19" s="10" t="n">
        <v>58.89</v>
      </c>
      <c r="M19" s="10" t="n">
        <v>176</v>
      </c>
      <c r="N19" s="11">
        <f>IF(OR(L19="",M19=""),"",L19/M19)</f>
        <v/>
      </c>
      <c r="O19" s="5" t="inlineStr">
        <is>
          <t>SEED</t>
        </is>
      </c>
      <c r="P19" s="3" t="inlineStr">
        <is>
          <t>read from a snippet; re-prices lower tiers</t>
        </is>
      </c>
      <c r="Q19" s="3" t="inlineStr">
        <is>
          <t>BROADBAND_HFC 1000Mbps MRC — Virgin Media Business Voom Gig1</t>
        </is>
      </c>
      <c r="R19" s="5" t="inlineStr">
        <is>
          <t>virginmediabusiness.co.uk; COMPANY_PUBLISHED/SNIPPET_ONLY</t>
        </is>
      </c>
      <c r="S19" s="3" t="inlineStr">
        <is>
          <t>Voom Gig1 | Download 1000Mbps | £43.95 per month</t>
        </is>
      </c>
      <c r="T19" s="5" t="inlineStr">
        <is>
          <t>https://www.virginmediabusiness.co.uk/connectivity/internet-access/business-broadband/</t>
        </is>
      </c>
      <c r="U19" s="5" t="inlineStr">
        <is>
          <t>2026</t>
        </is>
      </c>
      <c r="V19" s="5" t="inlineStr">
        <is>
          <t>not recorded</t>
        </is>
      </c>
      <c r="W19" s="12" t="n">
        <v>0</v>
      </c>
      <c r="X19" s="5" t="n">
        <v>0</v>
      </c>
      <c r="Y19" s="3" t="inlineStr"/>
      <c r="Z19" s="3" t="inlineStr">
        <is>
          <t>100 Mbps at 80 &gt; 200 Mbps at 40 USD; 250 Mbps at 108 &gt; 400 Mbps at 47 USD; 500 Mbps at 140 &gt; 600 Mbps at 52 USD</t>
        </is>
      </c>
      <c r="AA19" s="3" t="inlineStr">
        <is>
          <t>boots 53.95 GBP</t>
        </is>
      </c>
      <c r="AB19" s="7" t="n"/>
    </row>
    <row r="20">
      <c r="A20" s="5" t="inlineStr">
        <is>
          <t>GB-BROADBAND_HFC-2000-researched</t>
        </is>
      </c>
      <c r="B20" s="5" t="inlineStr">
        <is>
          <t>GB</t>
        </is>
      </c>
      <c r="C20" s="5" t="inlineStr">
        <is>
          <t>BROADBAND_HFC</t>
        </is>
      </c>
      <c r="D20" s="5" t="n">
        <v>2000</v>
      </c>
      <c r="E20" s="13" t="inlineStr">
        <is>
          <t>approved by Christian Bartosch</t>
        </is>
      </c>
      <c r="F20" s="7" t="inlineStr">
        <is>
          <t>Approve</t>
        </is>
      </c>
      <c r="G20" s="8" t="inlineStr">
        <is>
          <t>Virgin Media Business Voom Gig2, published, ex VAT, 24-month.</t>
        </is>
      </c>
      <c r="H20" s="9">
        <f>J20*0.75</f>
        <v/>
      </c>
      <c r="I20" s="9">
        <f>J20*1.25</f>
        <v/>
      </c>
      <c r="J20" s="10" t="n">
        <v>83.95</v>
      </c>
      <c r="K20" s="5" t="inlineStr">
        <is>
          <t>GBP</t>
        </is>
      </c>
      <c r="L20" s="10" t="n">
        <v>112.49</v>
      </c>
      <c r="M20" s="10" t="n"/>
      <c r="N20" s="11">
        <f>IF(OR(L20="",M20=""),"",L20/M20)</f>
        <v/>
      </c>
      <c r="O20" s="5" t="inlineStr">
        <is>
          <t>none - new tier</t>
        </is>
      </c>
      <c r="P20" s="3" t="inlineStr">
        <is>
          <t>floor; single source; re-prices lower tiers</t>
        </is>
      </c>
      <c r="Q20" s="3" t="inlineStr"/>
      <c r="R20" s="5" t="inlineStr">
        <is>
          <t>traced in review; REVIEWER_TRACED</t>
        </is>
      </c>
      <c r="S20" s="3" t="inlineStr">
        <is>
          <t>e DIA. (2) BROADBAND_HFC: Virgin Media Business publishes HFC/cable broadband: Voom 200 (200 Mbps) from £29.95/month, Voom 400 (400 Mbps) from £34.95/month, Voom Gig1 (1 Gbps) from £43.95/month, Voom Gig2 (2 Gbps) from £83.95/month, all ex-VAT 24-month contract, October 2026. New symmetric XGS-PON (BROADBAND_PON) Full Fibre X plans: 200 Mbps from £39.95/month, 1 Gbps from £53.95/mon</t>
        </is>
      </c>
      <c r="T20" s="5" t="inlineStr">
        <is>
          <t>https://www.virginmediabusiness.co.uk/connectivity/internet-access/business-broadband/</t>
        </is>
      </c>
      <c r="U20" s="5" t="inlineStr">
        <is>
          <t>2026</t>
        </is>
      </c>
      <c r="V20" s="5" t="inlineStr">
        <is>
          <t>royal-mail</t>
        </is>
      </c>
      <c r="W20" s="12" t="n">
        <v>0</v>
      </c>
      <c r="X20" s="5" t="n">
        <v>0</v>
      </c>
      <c r="Y20" s="3" t="inlineStr"/>
      <c r="Z20" s="3" t="inlineStr">
        <is>
          <t>100 Mbps at 80 &gt; 200 Mbps at 40 USD; 250 Mbps at 108 &gt; 400 Mbps at 47 USD; 500 Mbps at 140 &gt; 600 Mbps at 52 USD</t>
        </is>
      </c>
      <c r="AA20" s="3" t="inlineStr"/>
      <c r="AB20" s="7" t="inlineStr">
        <is>
          <t>https://www.virginmediabusiness.co.uk/connectivity/internet-access/business-broadband/</t>
        </is>
      </c>
    </row>
    <row r="21">
      <c r="A21" s="5" t="inlineStr">
        <is>
          <t>GB-BROADBAND_PON-100-researched</t>
        </is>
      </c>
      <c r="B21" s="5" t="inlineStr">
        <is>
          <t>GB</t>
        </is>
      </c>
      <c r="C21" s="5" t="inlineStr">
        <is>
          <t>BROADBAND_PON</t>
        </is>
      </c>
      <c r="D21" s="5" t="n">
        <v>100</v>
      </c>
      <c r="E21" s="13" t="inlineStr">
        <is>
          <t>approved by Christian Bartosch</t>
        </is>
      </c>
      <c r="F21" s="7" t="inlineStr">
        <is>
          <t>Approve</t>
        </is>
      </c>
      <c r="G21" s="8" t="inlineStr">
        <is>
          <t>BT Business Full Fibre 100 at GBP 35 a month ex VAT, published (verified May 2026).</t>
        </is>
      </c>
      <c r="H21" s="9">
        <f>J21*0.75</f>
        <v/>
      </c>
      <c r="I21" s="9">
        <f>J21*1.25</f>
        <v/>
      </c>
      <c r="J21" s="10" t="n">
        <v>35</v>
      </c>
      <c r="K21" s="5" t="inlineStr">
        <is>
          <t>GBP</t>
        </is>
      </c>
      <c r="L21" s="10" t="n">
        <v>46.9</v>
      </c>
      <c r="M21" s="10" t="n">
        <v>70</v>
      </c>
      <c r="N21" s="11">
        <f>IF(OR(L21="",M21=""),"",L21/M21)</f>
        <v/>
      </c>
      <c r="O21" s="5" t="inlineStr">
        <is>
          <t>SEED</t>
        </is>
      </c>
      <c r="P21" s="3" t="inlineStr">
        <is>
          <t>floor; single source; re-prices lower tiers</t>
        </is>
      </c>
      <c r="Q21" s="3" t="inlineStr"/>
      <c r="R21" s="5" t="inlineStr">
        <is>
          <t>traced in review; REVIEWER_TRACED</t>
        </is>
      </c>
      <c r="S21" s="3" t="inlineStr">
        <is>
          <t xml:space="preserve"> €700–€1,300/month (≈USD 765–1,420). The model's assumed GB MPLS 100 Mbps of USD 750–1,250/month is within this band.
**GB — BROADBAND_PON / HFC**
BT Business published tariffs (verified May 2026): Full Fibre 100 Mbps £35/month ex-VAT; Full Fibre 500 Mbps £55/month; Full Fibre 900 Mbps £65/month. Virgin Media Business (cable/HFC): from £29.95/month. Vodafone Business entry-level</t>
        </is>
      </c>
      <c r="T21" s="5" t="inlineStr">
        <is>
          <t>https://business.bt.com/products/broadband-and-internet/deals/</t>
        </is>
      </c>
      <c r="U21" s="5" t="inlineStr">
        <is>
          <t>2026-05</t>
        </is>
      </c>
      <c r="V21" s="5" t="inlineStr">
        <is>
          <t>saint-gobain</t>
        </is>
      </c>
      <c r="W21" s="12" t="n">
        <v>-742283.2166248914</v>
      </c>
      <c r="X21" s="5" t="n">
        <v>2847</v>
      </c>
      <c r="Y21" s="3" t="inlineStr">
        <is>
          <t>iberdrola -243,421; network-rail -216,375; nhs-england -161,315</t>
        </is>
      </c>
      <c r="Z21" s="3" t="inlineStr">
        <is>
          <t>50 Mbps at 58 &gt; 100 Mbps at 47 USD</t>
        </is>
      </c>
      <c r="AA21" s="3" t="inlineStr">
        <is>
          <t>deutsche-post-dhl 29 GBP</t>
        </is>
      </c>
      <c r="AB21" s="7" t="inlineStr">
        <is>
          <t>https://business.bt.com/products/broadband-and-internet/deals/</t>
        </is>
      </c>
    </row>
    <row r="22">
      <c r="A22" s="5" t="inlineStr">
        <is>
          <t>NL-DIA-200-researched</t>
        </is>
      </c>
      <c r="B22" s="5" t="inlineStr">
        <is>
          <t>NL</t>
        </is>
      </c>
      <c r="C22" s="5" t="inlineStr">
        <is>
          <t>DIA</t>
        </is>
      </c>
      <c r="D22" s="5" t="n">
        <v>200</v>
      </c>
      <c r="E22" s="13" t="inlineStr">
        <is>
          <t>approved by Christian Bartosch</t>
        </is>
      </c>
      <c r="F22" s="7" t="inlineStr">
        <is>
          <t>Approve</t>
        </is>
      </c>
      <c r="G22" s="8" t="inlineStr">
        <is>
          <t>Eurofiber DIA 200 from about EUR 348, as quoted by a broker; a carrier's indicative business price. No circuit in the set uses it.</t>
        </is>
      </c>
      <c r="H22" s="9">
        <f>J22*0.75</f>
        <v/>
      </c>
      <c r="I22" s="9">
        <f>J22*1.25</f>
        <v/>
      </c>
      <c r="J22" s="10" t="n">
        <v>348</v>
      </c>
      <c r="K22" s="5" t="inlineStr">
        <is>
          <t>EUR</t>
        </is>
      </c>
      <c r="L22" s="10" t="n">
        <v>399.49</v>
      </c>
      <c r="M22" s="10" t="n"/>
      <c r="N22" s="11">
        <f>IF(OR(L22="",M22=""),"",L22/M22)</f>
        <v/>
      </c>
      <c r="O22" s="5" t="inlineStr">
        <is>
          <t>none - new tier</t>
        </is>
      </c>
      <c r="P22" s="3" t="inlineStr">
        <is>
          <t>floor; single source; re-prices lower tiers</t>
        </is>
      </c>
      <c r="Q22" s="3" t="inlineStr">
        <is>
          <t>DIA MRC 200 Mbps (NL, Eurofiber)</t>
        </is>
      </c>
      <c r="R22" s="5" t="inlineStr">
        <is>
          <t>Connected Networks; COMPANY_PUBLISHED/FULL_PAGE</t>
        </is>
      </c>
      <c r="S22" s="3" t="inlineStr">
        <is>
          <t>DIA pricing via Eurofiber starts from approximately €348/month for 200Mbps.</t>
        </is>
      </c>
      <c r="T22" s="5" t="inlineStr">
        <is>
          <t>https://www.connectednetworks.io/countries/holland-the-netherlands-business-internet-connectivity</t>
        </is>
      </c>
      <c r="U22" s="5" t="inlineStr">
        <is>
          <t>2025</t>
        </is>
      </c>
      <c r="V22" s="5" t="inlineStr">
        <is>
          <t>ahold-delhaize</t>
        </is>
      </c>
      <c r="W22" s="12" t="n">
        <v>0</v>
      </c>
      <c r="X22" s="5" t="n">
        <v>0</v>
      </c>
      <c r="Y22" s="3" t="inlineStr"/>
      <c r="Z22" s="3" t="inlineStr">
        <is>
          <t>100 Mbps at 500 &gt; 200 Mbps at 399 USD</t>
        </is>
      </c>
      <c r="AA22" s="3" t="inlineStr">
        <is>
          <t>ahold-delhaize 348 EUR; deutsche-post-dhl 348 EUR; douglas 348 EUR; maersk 348 EUR; shell ~€348 EUR; shell 348 EUR; unilever 348 EUR; unilever 348 EUR</t>
        </is>
      </c>
      <c r="AB22" s="7" t="n"/>
    </row>
    <row r="23">
      <c r="A23" s="5" t="inlineStr">
        <is>
          <t>SG-BROADBAND_PON-500-researched</t>
        </is>
      </c>
      <c r="B23" s="5" t="inlineStr">
        <is>
          <t>SG</t>
        </is>
      </c>
      <c r="C23" s="5" t="inlineStr">
        <is>
          <t>BROADBAND_PON</t>
        </is>
      </c>
      <c r="D23" s="5" t="n">
        <v>500</v>
      </c>
      <c r="E23" s="13" t="inlineStr">
        <is>
          <t>approved by Christian Bartosch</t>
        </is>
      </c>
      <c r="F23" s="7" t="inlineStr">
        <is>
          <t>Approve</t>
        </is>
      </c>
      <c r="G23" s="8" t="inlineStr">
        <is>
          <t>Business dynamic fibre on a 24-month contract: StarHub S$109, Singtel S$118.</t>
        </is>
      </c>
      <c r="H23" s="9">
        <f>J23*0.75</f>
        <v/>
      </c>
      <c r="I23" s="9">
        <f>J23*1.25</f>
        <v/>
      </c>
      <c r="J23" s="10" t="n">
        <v>109</v>
      </c>
      <c r="K23" s="5" t="inlineStr">
        <is>
          <t>SGD</t>
        </is>
      </c>
      <c r="L23" s="10" t="n">
        <v>85.16</v>
      </c>
      <c r="M23" s="10" t="n">
        <v>115</v>
      </c>
      <c r="N23" s="11">
        <f>IF(OR(L23="",M23=""),"",L23/M23)</f>
        <v/>
      </c>
      <c r="O23" s="5" t="inlineStr">
        <is>
          <t>SEED</t>
        </is>
      </c>
      <c r="P23" s="3" t="inlineStr">
        <is>
          <t>single source; read from a snippet; re-prices lower tiers</t>
        </is>
      </c>
      <c r="Q23" s="3" t="inlineStr">
        <is>
          <t>BROADBAND_PON 500 Mbps MRC business dynamic — Singapore (Singtel)</t>
        </is>
      </c>
      <c r="R23" s="5" t="inlineStr">
        <is>
          <t>DollarsAndSense.sg; AGGREGATOR/SNIPPET_ONLY</t>
        </is>
      </c>
      <c r="S23" s="3" t="inlineStr">
        <is>
          <t>Singtel · $118 · $178 [for 500Mbps and 1Gbps dynamic broadband, 24-month contract]</t>
        </is>
      </c>
      <c r="T23" s="5" t="inlineStr">
        <is>
          <t>https://dollarsandsense.sg/price-guide-to-business-broadband-plans-for-offices-in-singapore/</t>
        </is>
      </c>
      <c r="U23" s="5" t="inlineStr">
        <is>
          <t>2025</t>
        </is>
      </c>
      <c r="V23" s="5" t="inlineStr">
        <is>
          <t>dbs</t>
        </is>
      </c>
      <c r="W23" s="12" t="n">
        <v>-2199.09195</v>
      </c>
      <c r="X23" s="5" t="n">
        <v>36</v>
      </c>
      <c r="Y23" s="3" t="inlineStr">
        <is>
          <t>dbs -2,199</t>
        </is>
      </c>
      <c r="Z23" s="3" t="inlineStr">
        <is>
          <t>250 Mbps at 91 &gt; 500 Mbps at 85 USD</t>
        </is>
      </c>
      <c r="AA23" s="3" t="inlineStr">
        <is>
          <t>dbs 118 SGD; dbs 109 SGD</t>
        </is>
      </c>
      <c r="AB23" s="7" t="n"/>
    </row>
    <row r="24">
      <c r="A24" s="5" t="inlineStr">
        <is>
          <t>SG-BROADBAND_PON-1000-researched</t>
        </is>
      </c>
      <c r="B24" s="5" t="inlineStr">
        <is>
          <t>SG</t>
        </is>
      </c>
      <c r="C24" s="5" t="inlineStr">
        <is>
          <t>BROADBAND_PON</t>
        </is>
      </c>
      <c r="D24" s="5" t="n">
        <v>1000</v>
      </c>
      <c r="E24" s="13" t="inlineStr">
        <is>
          <t>approved by Christian Bartosch</t>
        </is>
      </c>
      <c r="F24" s="7" t="inlineStr">
        <is>
          <t>Approve</t>
        </is>
      </c>
      <c r="G24" s="8" t="inlineStr">
        <is>
          <t>Business dynamic fibre on a 24-month contract: Singtel S$178, StarHub S$174.</t>
        </is>
      </c>
      <c r="H24" s="9">
        <f>J24*0.75</f>
        <v/>
      </c>
      <c r="I24" s="9">
        <f>J24*1.25</f>
        <v/>
      </c>
      <c r="J24" s="10" t="n">
        <v>178</v>
      </c>
      <c r="K24" s="5" t="inlineStr">
        <is>
          <t>SGD</t>
        </is>
      </c>
      <c r="L24" s="10" t="n">
        <v>139.06</v>
      </c>
      <c r="M24" s="10" t="n">
        <v>149</v>
      </c>
      <c r="N24" s="11">
        <f>IF(OR(L24="",M24=""),"",L24/M24)</f>
        <v/>
      </c>
      <c r="O24" s="5" t="inlineStr">
        <is>
          <t>SEED</t>
        </is>
      </c>
      <c r="P24" s="3" t="inlineStr">
        <is>
          <t>single source; read from a snippet; re-prices lower tiers</t>
        </is>
      </c>
      <c r="Q24" s="3" t="inlineStr">
        <is>
          <t>BROADBAND_PON 1000 Mbps MRC business dynamic — Singapore (Singtel)</t>
        </is>
      </c>
      <c r="R24" s="5" t="inlineStr">
        <is>
          <t>DollarsAndSense.sg; AGGREGATOR/SNIPPET_ONLY</t>
        </is>
      </c>
      <c r="S24" s="3" t="inlineStr">
        <is>
          <t>Singtel · $118 · $178 [for 500Mbps and 1Gbps dynamic broadband, 24-month contract]</t>
        </is>
      </c>
      <c r="T24" s="5" t="inlineStr">
        <is>
          <t>https://dollarsandsense.sg/price-guide-to-business-broadband-plans-for-offices-in-singapore/</t>
        </is>
      </c>
      <c r="U24" s="5" t="inlineStr">
        <is>
          <t>2025</t>
        </is>
      </c>
      <c r="V24" s="5" t="inlineStr">
        <is>
          <t>dbs</t>
        </is>
      </c>
      <c r="W24" s="12" t="n">
        <v>-320.98946125</v>
      </c>
      <c r="X24" s="5" t="n">
        <v>3</v>
      </c>
      <c r="Y24" s="3" t="inlineStr">
        <is>
          <t>novartis -321</t>
        </is>
      </c>
      <c r="Z24" s="3" t="inlineStr">
        <is>
          <t>250 Mbps at 91 &gt; 500 Mbps at 85 USD</t>
        </is>
      </c>
      <c r="AA24" s="3" t="inlineStr">
        <is>
          <t>dbs 178 SGD; dbs 53.89 SGD</t>
        </is>
      </c>
      <c r="AB24" s="7" t="n"/>
    </row>
    <row r="25">
      <c r="A25" s="5" t="inlineStr">
        <is>
          <t>SG-DIA-10000-researched</t>
        </is>
      </c>
      <c r="B25" s="5" t="inlineStr">
        <is>
          <t>SG</t>
        </is>
      </c>
      <c r="C25" s="5" t="inlineStr">
        <is>
          <t>DIA</t>
        </is>
      </c>
      <c r="D25" s="5" t="n">
        <v>10000</v>
      </c>
      <c r="E25" s="13" t="inlineStr">
        <is>
          <t>approved by Christian Bartosch</t>
        </is>
      </c>
      <c r="F25" s="7" t="inlineStr">
        <is>
          <t>Approve</t>
        </is>
      </c>
      <c r="G25" s="8" t="inlineStr">
        <is>
          <t>TeleGeography's survey-based 10 GigE DIA benchmark for Singapore. No circuit in the set uses it.</t>
        </is>
      </c>
      <c r="H25" s="9">
        <f>J25*0.75</f>
        <v/>
      </c>
      <c r="I25" s="9">
        <f>J25*1.25</f>
        <v/>
      </c>
      <c r="J25" s="10" t="n">
        <v>4500</v>
      </c>
      <c r="K25" s="5" t="inlineStr">
        <is>
          <t>USD</t>
        </is>
      </c>
      <c r="L25" s="10" t="n">
        <v>4500</v>
      </c>
      <c r="M25" s="10" t="n"/>
      <c r="N25" s="11">
        <f>IF(OR(L25="",M25=""),"",L25/M25)</f>
        <v/>
      </c>
      <c r="O25" s="5" t="inlineStr">
        <is>
          <t>none - new tier</t>
        </is>
      </c>
      <c r="P25" s="3" t="inlineStr">
        <is>
          <t>single source; read from a snippet</t>
        </is>
      </c>
      <c r="Q25" s="3" t="inlineStr">
        <is>
          <t>DIA 10000 Mbps (10 GigE) MRC — SG (TeleGeography 2026)</t>
        </is>
      </c>
      <c r="R25" s="5" t="inlineStr">
        <is>
          <t>TeleGeography; TRADE_PRESS/SNIPPET_ONLY</t>
        </is>
      </c>
      <c r="S25" s="3" t="inlineStr">
        <is>
          <t>$4,500 for 10 GigE</t>
        </is>
      </c>
      <c r="T25" s="5" t="inlineStr">
        <is>
          <t>https://resources.telegeography.com/dia-pricing-in-asia-and-oceania</t>
        </is>
      </c>
      <c r="U25" s="5" t="inlineStr">
        <is>
          <t>2026</t>
        </is>
      </c>
      <c r="V25" s="5" t="inlineStr">
        <is>
          <t>maersk</t>
        </is>
      </c>
      <c r="W25" s="12" t="n">
        <v>0</v>
      </c>
      <c r="X25" s="5" t="n">
        <v>0</v>
      </c>
      <c r="Y25" s="3" t="inlineStr"/>
      <c r="Z25" s="3" t="inlineStr">
        <is>
          <t>no</t>
        </is>
      </c>
      <c r="AA25" s="3" t="inlineStr">
        <is>
          <t>dbs 4500 USD; maersk 4500 USD</t>
        </is>
      </c>
      <c r="AB25" s="7" t="n"/>
    </row>
    <row r="26">
      <c r="A26" s="5" t="inlineStr">
        <is>
          <t>US-BROADBAND_HFC-100-researched</t>
        </is>
      </c>
      <c r="B26" s="5" t="inlineStr">
        <is>
          <t>US</t>
        </is>
      </c>
      <c r="C26" s="5" t="inlineStr">
        <is>
          <t>BROADBAND_HFC</t>
        </is>
      </c>
      <c r="D26" s="5" t="n">
        <v>100</v>
      </c>
      <c r="E26" s="13" t="inlineStr">
        <is>
          <t>approved by Christian Bartosch</t>
        </is>
      </c>
      <c r="F26" s="7" t="inlineStr">
        <is>
          <t>Approve</t>
        </is>
      </c>
      <c r="G26" s="8" t="inlineStr">
        <is>
          <t>Lightyear transaction dataset, median of US business broadband at 100 Mbps; the band is its 10th-90th percentile.</t>
        </is>
      </c>
      <c r="H26" s="9" t="n">
        <v>60</v>
      </c>
      <c r="I26" s="9" t="n">
        <v>175</v>
      </c>
      <c r="J26" s="10" t="n">
        <v>100</v>
      </c>
      <c r="K26" s="5" t="inlineStr">
        <is>
          <t>USD</t>
        </is>
      </c>
      <c r="L26" s="10" t="n">
        <v>100</v>
      </c>
      <c r="M26" s="10" t="n">
        <v>120</v>
      </c>
      <c r="N26" s="11">
        <f>IF(OR(L26="",M26=""),"",L26/M26)</f>
        <v/>
      </c>
      <c r="O26" s="5" t="inlineStr">
        <is>
          <t>SEED</t>
        </is>
      </c>
      <c r="P26" s="3" t="inlineStr">
        <is>
          <t>re-prices lower tiers</t>
        </is>
      </c>
      <c r="Q26" s="3" t="inlineStr">
        <is>
          <t>BROADBAND_HFC 100 Mbps MRC median</t>
        </is>
      </c>
      <c r="R26" s="5" t="inlineStr">
        <is>
          <t>Lightyear; AGGREGATOR/FULL_PAGE</t>
        </is>
      </c>
      <c r="S26" s="3" t="inlineStr">
        <is>
          <t>100 Mbps | $60 | $100 | $175</t>
        </is>
      </c>
      <c r="T26" s="5" t="inlineStr">
        <is>
          <t>https://lightyear.ai/resources/dedicated-internet-access-dia-ultimate-pricing-guide</t>
        </is>
      </c>
      <c r="U26" s="5" t="inlineStr">
        <is>
          <t>2025-2026</t>
        </is>
      </c>
      <c r="V26" s="5" t="inlineStr">
        <is>
          <t>ahold-delhaize</t>
        </is>
      </c>
      <c r="W26" s="12" t="n">
        <v>-2826.54656</v>
      </c>
      <c r="X26" s="5" t="n">
        <v>13</v>
      </c>
      <c r="Y26" s="3" t="inlineStr">
        <is>
          <t>ahold-delhaize -2,174; fresenius -435; victorias-secret -217</t>
        </is>
      </c>
      <c r="Z26" s="3" t="inlineStr">
        <is>
          <t>250 Mbps at 162 &gt; 500 Mbps at 110 USD</t>
        </is>
      </c>
      <c r="AA26" s="3" t="inlineStr">
        <is>
          <t>ahold-delhaize 100 USD; ups 100 USD</t>
        </is>
      </c>
      <c r="AB26" s="7" t="n"/>
    </row>
    <row r="27">
      <c r="A27" s="5" t="inlineStr">
        <is>
          <t>US-BROADBAND_HFC-500-researched</t>
        </is>
      </c>
      <c r="B27" s="5" t="inlineStr">
        <is>
          <t>US</t>
        </is>
      </c>
      <c r="C27" s="5" t="inlineStr">
        <is>
          <t>BROADBAND_HFC</t>
        </is>
      </c>
      <c r="D27" s="5" t="n">
        <v>500</v>
      </c>
      <c r="E27" s="13" t="inlineStr">
        <is>
          <t>approved by Christian Bartosch</t>
        </is>
      </c>
      <c r="F27" s="7" t="inlineStr">
        <is>
          <t>Approve</t>
        </is>
      </c>
      <c r="G27" s="8" t="inlineStr">
        <is>
          <t>Lightyear transaction dataset, median at 500 Mbps; the band is its 10th-90th percentile.</t>
        </is>
      </c>
      <c r="H27" s="9" t="n">
        <v>65</v>
      </c>
      <c r="I27" s="9" t="n">
        <v>212</v>
      </c>
      <c r="J27" s="10" t="n">
        <v>110</v>
      </c>
      <c r="K27" s="5" t="inlineStr">
        <is>
          <t>USD</t>
        </is>
      </c>
      <c r="L27" s="10" t="n">
        <v>110</v>
      </c>
      <c r="M27" s="10" t="n">
        <v>208</v>
      </c>
      <c r="N27" s="11">
        <f>IF(OR(L27="",M27=""),"",L27/M27)</f>
        <v/>
      </c>
      <c r="O27" s="5" t="inlineStr">
        <is>
          <t>SEED</t>
        </is>
      </c>
      <c r="P27" s="3" t="inlineStr">
        <is>
          <t>re-prices lower tiers</t>
        </is>
      </c>
      <c r="Q27" s="3" t="inlineStr">
        <is>
          <t>BROADBAND_HFC/PON 500 Mbps MRC median</t>
        </is>
      </c>
      <c r="R27" s="5" t="inlineStr">
        <is>
          <t>Lightyear; AGGREGATOR/FULL_PAGE</t>
        </is>
      </c>
      <c r="S27" s="3" t="inlineStr">
        <is>
          <t>500 Mbps | $65 | $110 | $212</t>
        </is>
      </c>
      <c r="T27" s="5" t="inlineStr">
        <is>
          <t>https://lightyear.ai/resources/dedicated-internet-access-dia-ultimate-pricing-guide</t>
        </is>
      </c>
      <c r="U27" s="5" t="inlineStr">
        <is>
          <t>2025-2026</t>
        </is>
      </c>
      <c r="V27" s="5" t="inlineStr">
        <is>
          <t>ahold-delhaize</t>
        </is>
      </c>
      <c r="W27" s="12" t="n">
        <v>-13706874.740784</v>
      </c>
      <c r="X27" s="5" t="n">
        <v>17406</v>
      </c>
      <c r="Y27" s="3" t="inlineStr">
        <is>
          <t>mcdonalds -11,026,179; ahold-delhaize -1,096,373; ups -865,097</t>
        </is>
      </c>
      <c r="Z27" s="3" t="inlineStr">
        <is>
          <t>250 Mbps at 162 &gt; 500 Mbps at 110 USD</t>
        </is>
      </c>
      <c r="AA27" s="3" t="inlineStr">
        <is>
          <t>ahold-delhaize 110 USD; simmons-bank 100 USD</t>
        </is>
      </c>
      <c r="AB27" s="7" t="n"/>
    </row>
    <row r="28">
      <c r="A28" s="5" t="inlineStr">
        <is>
          <t>US-BROADBAND_HFC-1000-researched</t>
        </is>
      </c>
      <c r="B28" s="5" t="inlineStr">
        <is>
          <t>US</t>
        </is>
      </c>
      <c r="C28" s="5" t="inlineStr">
        <is>
          <t>BROADBAND_HFC</t>
        </is>
      </c>
      <c r="D28" s="5" t="n">
        <v>1000</v>
      </c>
      <c r="E28" s="13" t="inlineStr">
        <is>
          <t>approved by Christian Bartosch</t>
        </is>
      </c>
      <c r="F28" s="7" t="inlineStr">
        <is>
          <t>Approve</t>
        </is>
      </c>
      <c r="G28" s="8" t="inlineStr">
        <is>
          <t>Lightyear transaction dataset, median at 1 Gbps; the band is its 10th-90th percentile.</t>
        </is>
      </c>
      <c r="H28" s="9" t="n">
        <v>124</v>
      </c>
      <c r="I28" s="9" t="n">
        <v>330</v>
      </c>
      <c r="J28" s="10" t="n">
        <v>184</v>
      </c>
      <c r="K28" s="5" t="inlineStr">
        <is>
          <t>USD</t>
        </is>
      </c>
      <c r="L28" s="10" t="n">
        <v>184</v>
      </c>
      <c r="M28" s="10" t="n">
        <v>264</v>
      </c>
      <c r="N28" s="11">
        <f>IF(OR(L28="",M28=""),"",L28/M28)</f>
        <v/>
      </c>
      <c r="O28" s="5" t="inlineStr">
        <is>
          <t>SEED</t>
        </is>
      </c>
      <c r="P28" s="3" t="inlineStr">
        <is>
          <t>re-prices lower tiers</t>
        </is>
      </c>
      <c r="Q28" s="3" t="inlineStr">
        <is>
          <t>BROADBAND_HFC/PON 1 Gbps MRC median</t>
        </is>
      </c>
      <c r="R28" s="5" t="inlineStr">
        <is>
          <t>Lightyear; AGGREGATOR/FULL_PAGE</t>
        </is>
      </c>
      <c r="S28" s="3" t="inlineStr">
        <is>
          <t>1 Gbps | $124 | $184 | $330</t>
        </is>
      </c>
      <c r="T28" s="5" t="inlineStr">
        <is>
          <t>https://lightyear.ai/resources/dedicated-internet-access-dia-ultimate-pricing-guide</t>
        </is>
      </c>
      <c r="U28" s="5" t="inlineStr">
        <is>
          <t>2025-2026</t>
        </is>
      </c>
      <c r="V28" s="5" t="inlineStr">
        <is>
          <t>ahold-delhaize</t>
        </is>
      </c>
      <c r="W28" s="12" t="n">
        <v>0</v>
      </c>
      <c r="X28" s="5" t="n">
        <v>0</v>
      </c>
      <c r="Y28" s="3" t="inlineStr"/>
      <c r="Z28" s="3" t="inlineStr">
        <is>
          <t>250 Mbps at 162 &gt; 500 Mbps at 110 USD</t>
        </is>
      </c>
      <c r="AA28" s="3" t="inlineStr">
        <is>
          <t>ahold-delhaize 184 USD; simmons-bank 115 USD; ups 184 USD</t>
        </is>
      </c>
      <c r="AB28" s="7" t="n"/>
    </row>
    <row r="29">
      <c r="A29" s="5" t="inlineStr">
        <is>
          <t>US-BROADBAND_PON-100-researched</t>
        </is>
      </c>
      <c r="B29" s="5" t="inlineStr">
        <is>
          <t>US</t>
        </is>
      </c>
      <c r="C29" s="5" t="inlineStr">
        <is>
          <t>BROADBAND_PON</t>
        </is>
      </c>
      <c r="D29" s="5" t="n">
        <v>100</v>
      </c>
      <c r="E29" s="13" t="inlineStr">
        <is>
          <t>approved by Christian Bartosch</t>
        </is>
      </c>
      <c r="F29" s="7" t="inlineStr">
        <is>
          <t>Approve</t>
        </is>
      </c>
      <c r="G29" s="8" t="inlineStr">
        <is>
          <t>Lightyear transaction dataset, median at 100 Mbps (HFC and PON together); the band is its 10th-90th percentile.</t>
        </is>
      </c>
      <c r="H29" s="9" t="n">
        <v>60</v>
      </c>
      <c r="I29" s="9" t="n">
        <v>175</v>
      </c>
      <c r="J29" s="10" t="n">
        <v>100</v>
      </c>
      <c r="K29" s="5" t="inlineStr">
        <is>
          <t>USD</t>
        </is>
      </c>
      <c r="L29" s="10" t="n">
        <v>100</v>
      </c>
      <c r="M29" s="10" t="n">
        <v>85</v>
      </c>
      <c r="N29" s="11">
        <f>IF(OR(L29="",M29=""),"",L29/M29)</f>
        <v/>
      </c>
      <c r="O29" s="5" t="inlineStr">
        <is>
          <t>SEED</t>
        </is>
      </c>
      <c r="P29" s="3" t="inlineStr">
        <is>
          <t>single source; read from a snippet; re-prices lower tiers</t>
        </is>
      </c>
      <c r="Q29" s="3" t="inlineStr">
        <is>
          <t>BROADBAND_PON/HFC 100 Mbps MRC – US business</t>
        </is>
      </c>
      <c r="R29" s="5" t="inlineStr">
        <is>
          <t>Lightyear; AGGREGATOR/SNIPPET_ONLY</t>
        </is>
      </c>
      <c r="S29" s="3" t="inlineStr">
        <is>
          <t>100 Mbps | $60 | $100 | $175 — Last 12 Months Broadband Pricing ($MRC) by Bandwidth Tier</t>
        </is>
      </c>
      <c r="T29" s="5" t="inlineStr">
        <is>
          <t>https://lightyear.ai/resources/dedicated-internet-access-dia-ultimate-pricing-guide</t>
        </is>
      </c>
      <c r="U29" s="5" t="inlineStr">
        <is>
          <t>2025-2026</t>
        </is>
      </c>
      <c r="V29" s="5" t="inlineStr">
        <is>
          <t>volkswagen</t>
        </is>
      </c>
      <c r="W29" s="12" t="n">
        <v>291598.81184</v>
      </c>
      <c r="X29" s="5" t="n">
        <v>1774</v>
      </c>
      <c r="Y29" s="3" t="inlineStr">
        <is>
          <t>toyota +1,756; danone +2,107; bayer +3,512</t>
        </is>
      </c>
      <c r="Z29" s="3" t="inlineStr">
        <is>
          <t>250 Mbps at 114 &gt; 500 Mbps at 99 USD</t>
        </is>
      </c>
      <c r="AA29" s="3" t="inlineStr">
        <is>
          <t>volkswagen 100 USD</t>
        </is>
      </c>
      <c r="AB29" s="7" t="n"/>
    </row>
    <row r="30">
      <c r="A30" s="5" t="inlineStr">
        <is>
          <t>US-BROADBAND_PON-500-researched</t>
        </is>
      </c>
      <c r="B30" s="5" t="inlineStr">
        <is>
          <t>US</t>
        </is>
      </c>
      <c r="C30" s="5" t="inlineStr">
        <is>
          <t>BROADBAND_PON</t>
        </is>
      </c>
      <c r="D30" s="5" t="n">
        <v>500</v>
      </c>
      <c r="E30" s="13" t="inlineStr">
        <is>
          <t>approved by Christian Bartosch</t>
        </is>
      </c>
      <c r="F30" s="7" t="inlineStr">
        <is>
          <t>Approve</t>
        </is>
      </c>
      <c r="G30" s="8" t="inlineStr">
        <is>
          <t>Verizon Fios Business 500 at $99, consistent with the Lightyear 500 Mbps median of $110.</t>
        </is>
      </c>
      <c r="H30" s="9">
        <f>J30*0.75</f>
        <v/>
      </c>
      <c r="I30" s="9">
        <f>J30*1.25</f>
        <v/>
      </c>
      <c r="J30" s="10" t="n">
        <v>99</v>
      </c>
      <c r="K30" s="5" t="inlineStr">
        <is>
          <t>USD</t>
        </is>
      </c>
      <c r="L30" s="10" t="n">
        <v>99</v>
      </c>
      <c r="M30" s="10" t="n">
        <v>145</v>
      </c>
      <c r="N30" s="11">
        <f>IF(OR(L30="",M30=""),"",L30/M30)</f>
        <v/>
      </c>
      <c r="O30" s="5" t="inlineStr">
        <is>
          <t>SEED</t>
        </is>
      </c>
      <c r="P30" s="3" t="inlineStr">
        <is>
          <t>single source; read from a snippet; re-prices lower tiers</t>
        </is>
      </c>
      <c r="Q30" s="3" t="inlineStr">
        <is>
          <t>BROADBAND_PON 500 Mbps MRC – US, Verizon Fios Business</t>
        </is>
      </c>
      <c r="R30" s="5" t="inlineStr">
        <is>
          <t>highspeedinternet.com (Verizon published tariff); AGGREGATOR/SNIPPET_ONLY</t>
        </is>
      </c>
      <c r="S30" s="3" t="inlineStr">
        <is>
          <t>Verizon Business Fios 500 | $99/mo. | Up to 500Mbps | Fiber</t>
        </is>
      </c>
      <c r="T30" s="5" t="inlineStr">
        <is>
          <t>https://www.highspeedinternet.com/resources/business-internet-guide</t>
        </is>
      </c>
      <c r="U30" s="5" t="inlineStr">
        <is>
          <t>2026</t>
        </is>
      </c>
      <c r="V30" s="5" t="inlineStr">
        <is>
          <t>bayer</t>
        </is>
      </c>
      <c r="W30" s="12" t="n">
        <v>-77962.3674245</v>
      </c>
      <c r="X30" s="5" t="n">
        <v>243</v>
      </c>
      <c r="Y30" s="3" t="inlineStr">
        <is>
          <t>simmons-bank -20,511; basf -13,372; siemens -11,391</t>
        </is>
      </c>
      <c r="Z30" s="3" t="inlineStr">
        <is>
          <t>250 Mbps at 114 &gt; 500 Mbps at 99 USD</t>
        </is>
      </c>
      <c r="AA30" s="3" t="inlineStr">
        <is>
          <t>bayer 99 USD</t>
        </is>
      </c>
      <c r="AB30" s="7" t="n"/>
    </row>
    <row r="31">
      <c r="A31" s="5" t="inlineStr">
        <is>
          <t>US-DIA-100-researched</t>
        </is>
      </c>
      <c r="B31" s="5" t="inlineStr">
        <is>
          <t>US</t>
        </is>
      </c>
      <c r="C31" s="5" t="inlineStr">
        <is>
          <t>DIA</t>
        </is>
      </c>
      <c r="D31" s="5" t="n">
        <v>100</v>
      </c>
      <c r="E31" s="13" t="inlineStr">
        <is>
          <t>approved by Christian Bartosch</t>
        </is>
      </c>
      <c r="F31" s="7" t="inlineStr">
        <is>
          <t>Approve</t>
        </is>
      </c>
      <c r="G31" s="8" t="inlineStr">
        <is>
          <t>Lightyear 36-month DIA median at 100 Mbps; the band is its 10th-90th percentile.</t>
        </is>
      </c>
      <c r="H31" s="9" t="n">
        <v>333</v>
      </c>
      <c r="I31" s="9" t="n">
        <v>641</v>
      </c>
      <c r="J31" s="10" t="n">
        <v>492</v>
      </c>
      <c r="K31" s="5" t="inlineStr">
        <is>
          <t>USD</t>
        </is>
      </c>
      <c r="L31" s="10" t="n">
        <v>492</v>
      </c>
      <c r="M31" s="10" t="n">
        <v>480</v>
      </c>
      <c r="N31" s="11">
        <f>IF(OR(L31="",M31=""),"",L31/M31)</f>
        <v/>
      </c>
      <c r="O31" s="5" t="inlineStr">
        <is>
          <t>SEED</t>
        </is>
      </c>
      <c r="P31" s="3" t="inlineStr">
        <is>
          <t>read from a snippet; re-prices lower tiers</t>
        </is>
      </c>
      <c r="Q31" s="3" t="inlineStr">
        <is>
          <t>DIA 100 Mbps MRC – US (Lightyear dataset, 36-month, median)</t>
        </is>
      </c>
      <c r="R31" s="5" t="inlineStr">
        <is>
          <t>Lightyear.ai; AGGREGATOR/SNIPPET_ONLY</t>
        </is>
      </c>
      <c r="S31" s="3" t="inlineStr">
        <is>
          <t>Median DIA MRC 36-month: 100 Mbps $492, 1 Gbps $901, 10 Gbps $1,987 (US, mixed geo/ISP)</t>
        </is>
      </c>
      <c r="T31" s="5" t="inlineStr">
        <is>
          <t>https://lightyear.ai/resources/dedicated-internet-access-dia-ultimate-pricing-guide</t>
        </is>
      </c>
      <c r="U31" s="5" t="inlineStr">
        <is>
          <t>2025-2026</t>
        </is>
      </c>
      <c r="V31" s="5" t="inlineStr">
        <is>
          <t>abb</t>
        </is>
      </c>
      <c r="W31" s="12" t="n">
        <v>412378.736</v>
      </c>
      <c r="X31" s="5" t="n">
        <v>2630</v>
      </c>
      <c r="Y31" s="3" t="inlineStr">
        <is>
          <t>victorias-secret +314; ahold-delhaize +3,920; fresenius +408,145</t>
        </is>
      </c>
      <c r="Z31" s="3" t="inlineStr">
        <is>
          <t>500 Mbps at 1242 &gt; 1000 Mbps at 901 USD</t>
        </is>
      </c>
      <c r="AA31" s="3" t="inlineStr">
        <is>
          <t>abb 492 USD; ahold-delhaize 333 USD; ahold-delhaize 492 USD; ahold-delhaize 641 USD; basf 492 USD; basf 625 USD; bayer 492 USD; fresenius 492 USD</t>
        </is>
      </c>
      <c r="AB31" s="7" t="n"/>
    </row>
    <row r="32">
      <c r="A32" s="5" t="inlineStr">
        <is>
          <t>US-DIA-1000-researched</t>
        </is>
      </c>
      <c r="B32" s="5" t="inlineStr">
        <is>
          <t>US</t>
        </is>
      </c>
      <c r="C32" s="5" t="inlineStr">
        <is>
          <t>DIA</t>
        </is>
      </c>
      <c r="D32" s="5" t="n">
        <v>1000</v>
      </c>
      <c r="E32" s="13" t="inlineStr">
        <is>
          <t>approved by Christian Bartosch</t>
        </is>
      </c>
      <c r="F32" s="7" t="inlineStr">
        <is>
          <t>Approve</t>
        </is>
      </c>
      <c r="G32" s="8" t="inlineStr">
        <is>
          <t>Lightyear 36-month DIA median at 1 Gbps; the band is its 10th-90th percentile.</t>
        </is>
      </c>
      <c r="H32" s="9" t="n">
        <v>600</v>
      </c>
      <c r="I32" s="9" t="n">
        <v>1312</v>
      </c>
      <c r="J32" s="10" t="n">
        <v>901</v>
      </c>
      <c r="K32" s="5" t="inlineStr">
        <is>
          <t>USD</t>
        </is>
      </c>
      <c r="L32" s="10" t="n">
        <v>901</v>
      </c>
      <c r="M32" s="10" t="n">
        <v>1350</v>
      </c>
      <c r="N32" s="11">
        <f>IF(OR(L32="",M32=""),"",L32/M32)</f>
        <v/>
      </c>
      <c r="O32" s="5" t="inlineStr">
        <is>
          <t>SEED</t>
        </is>
      </c>
      <c r="P32" s="3" t="inlineStr">
        <is>
          <t>read from a snippet; re-prices lower tiers</t>
        </is>
      </c>
      <c r="Q32" s="3" t="inlineStr">
        <is>
          <t>DIA 1000 Mbps MRC – US (Lightyear dataset, 36-month, median)</t>
        </is>
      </c>
      <c r="R32" s="5" t="inlineStr">
        <is>
          <t>Lightyear.ai; AGGREGATOR/SNIPPET_ONLY</t>
        </is>
      </c>
      <c r="S32" s="3" t="inlineStr">
        <is>
          <t>Median DIA 1 Gbps $901/month (US, 36-month, 10th pct $600, 90th pct $1,312)</t>
        </is>
      </c>
      <c r="T32" s="5" t="inlineStr">
        <is>
          <t>https://lightyear.ai/resources/dedicated-internet-access-dia-ultimate-pricing-guide</t>
        </is>
      </c>
      <c r="U32" s="5" t="inlineStr">
        <is>
          <t>2025-2026</t>
        </is>
      </c>
      <c r="V32" s="5" t="inlineStr">
        <is>
          <t>abb</t>
        </is>
      </c>
      <c r="W32" s="12" t="n">
        <v>-1256051.2834</v>
      </c>
      <c r="X32" s="5" t="n">
        <v>383</v>
      </c>
      <c r="Y32" s="3" t="inlineStr">
        <is>
          <t>simmons-bank -537,948; siemens -314,464; nestle -84,483</t>
        </is>
      </c>
      <c r="Z32" s="3" t="inlineStr">
        <is>
          <t>500 Mbps at 1242 &gt; 1000 Mbps at 901 USD</t>
        </is>
      </c>
      <c r="AA32" s="3" t="inlineStr">
        <is>
          <t>abb 901 USD; ahold-delhaize 600 USD; ahold-delhaize 901 USD; ahold-delhaize 1312 USD; basf 901 USD; basf 1070 USD; bayer 901 USD; fresenius 901 USD</t>
        </is>
      </c>
      <c r="AB32" s="7" t="n"/>
    </row>
    <row r="33">
      <c r="A33" s="5" t="inlineStr">
        <is>
          <t>US-DIA-10000-researched</t>
        </is>
      </c>
      <c r="B33" s="5" t="inlineStr">
        <is>
          <t>US</t>
        </is>
      </c>
      <c r="C33" s="5" t="inlineStr">
        <is>
          <t>DIA</t>
        </is>
      </c>
      <c r="D33" s="5" t="n">
        <v>10000</v>
      </c>
      <c r="E33" s="13" t="inlineStr">
        <is>
          <t>approved by Christian Bartosch</t>
        </is>
      </c>
      <c r="F33" s="7" t="inlineStr">
        <is>
          <t>Approve</t>
        </is>
      </c>
      <c r="G33" s="8" t="inlineStr">
        <is>
          <t>Lightyear 36-month DIA median at 10 Gbps; the band is its 10th-90th percentile. Approved on 13 Oct, and lost to a re-promotion.</t>
        </is>
      </c>
      <c r="H33" s="9" t="n">
        <v>1175</v>
      </c>
      <c r="I33" s="9" t="n">
        <v>2853</v>
      </c>
      <c r="J33" s="10" t="n">
        <v>1987</v>
      </c>
      <c r="K33" s="5" t="inlineStr">
        <is>
          <t>USD</t>
        </is>
      </c>
      <c r="L33" s="10" t="n">
        <v>1987</v>
      </c>
      <c r="M33" s="10" t="n"/>
      <c r="N33" s="11">
        <f>IF(OR(L33="",M33=""),"",L33/M33)</f>
        <v/>
      </c>
      <c r="O33" s="5" t="inlineStr">
        <is>
          <t>none - new tier</t>
        </is>
      </c>
      <c r="P33" s="3" t="inlineStr">
        <is>
          <t>read from a snippet; re-prices lower tiers</t>
        </is>
      </c>
      <c r="Q33" s="3" t="inlineStr">
        <is>
          <t>DIA 10000 Mbps MRC – US (Lightyear dataset, 36-month, median)</t>
        </is>
      </c>
      <c r="R33" s="5" t="inlineStr">
        <is>
          <t>Lightyear.ai; AGGREGATOR/SNIPPET_ONLY</t>
        </is>
      </c>
      <c r="S33" s="3" t="inlineStr">
        <is>
          <t>Median DIA 10 Gbps $1,987/month (US, 36-month, 10th pct $1,175, 90th pct $2,853)</t>
        </is>
      </c>
      <c r="T33" s="5" t="inlineStr">
        <is>
          <t>https://lightyear.ai/resources/dedicated-internet-access-dia-ultimate-pricing-guide</t>
        </is>
      </c>
      <c r="U33" s="5" t="inlineStr">
        <is>
          <t>2025-2026</t>
        </is>
      </c>
      <c r="V33" s="5" t="inlineStr">
        <is>
          <t>abb</t>
        </is>
      </c>
      <c r="W33" s="12" t="n">
        <v>311557.63</v>
      </c>
      <c r="X33" s="5" t="n">
        <v>15</v>
      </c>
      <c r="Y33" s="3" t="inlineStr">
        <is>
          <t>capgemini +311,558</t>
        </is>
      </c>
      <c r="Z33" s="3" t="inlineStr">
        <is>
          <t>500 Mbps at 1242 &gt; 1000 Mbps at 901 USD</t>
        </is>
      </c>
      <c r="AA33" s="3" t="inlineStr">
        <is>
          <t>abb 1987 USD; ahold-delhaize 1987 USD; bayer 1987 USD; fresenius 1987 USD; mcdonalds 1987 USD; siemens 1987 USD; simmons-bank 1987 USD; ups 1987 USD</t>
        </is>
      </c>
      <c r="AB33" s="7" t="n"/>
    </row>
    <row r="34">
      <c r="A34" s="5" t="inlineStr">
        <is>
          <t>US-ETHERNET-10000-researched</t>
        </is>
      </c>
      <c r="B34" s="5" t="inlineStr">
        <is>
          <t>US</t>
        </is>
      </c>
      <c r="C34" s="5" t="inlineStr">
        <is>
          <t>ETHERNET</t>
        </is>
      </c>
      <c r="D34" s="5" t="n">
        <v>10000</v>
      </c>
      <c r="E34" s="13" t="inlineStr">
        <is>
          <t>approved by Christian Bartosch</t>
        </is>
      </c>
      <c r="F34" s="7" t="inlineStr">
        <is>
          <t>Approve</t>
        </is>
      </c>
      <c r="G34" s="8" t="inlineStr">
        <is>
          <t>Lightyear Ethernet private-line median at 10 Gbps; the band is its 10th-90th percentile.</t>
        </is>
      </c>
      <c r="H34" s="9" t="n">
        <v>1244</v>
      </c>
      <c r="I34" s="9" t="n">
        <v>2157</v>
      </c>
      <c r="J34" s="10" t="n">
        <v>1807</v>
      </c>
      <c r="K34" s="5" t="inlineStr">
        <is>
          <t>USD</t>
        </is>
      </c>
      <c r="L34" s="10" t="n">
        <v>1807</v>
      </c>
      <c r="M34" s="10" t="n">
        <v>3450</v>
      </c>
      <c r="N34" s="11">
        <f>IF(OR(L34="",M34=""),"",L34/M34)</f>
        <v/>
      </c>
      <c r="O34" s="5" t="inlineStr">
        <is>
          <t>SEED</t>
        </is>
      </c>
      <c r="P34" s="3" t="inlineStr">
        <is>
          <t>floor; read from a snippet; re-prices lower tiers</t>
        </is>
      </c>
      <c r="Q34" s="3" t="inlineStr">
        <is>
          <t>ETHERNET 10000 Mbps point-to-point MRC – US (Lightyear dataset)</t>
        </is>
      </c>
      <c r="R34" s="5" t="inlineStr">
        <is>
          <t>lightyear.ai (Ethernet Private Line guide); TRADE_PRESS/SNIPPET_ONLY</t>
        </is>
      </c>
      <c r="S34" s="3" t="inlineStr">
        <is>
          <t>10 Gbps Point-to-Point (Ethernet): 10th pct $1,244, Median $1,807, 90th pct $2,157</t>
        </is>
      </c>
      <c r="T34" s="5" t="inlineStr">
        <is>
          <t>https://lightyear.ai/blogs/ethernet-private-line-cost</t>
        </is>
      </c>
      <c r="U34" s="5" t="inlineStr">
        <is>
          <t>2025-2026</t>
        </is>
      </c>
      <c r="V34" s="5" t="inlineStr">
        <is>
          <t>simmons-bank</t>
        </is>
      </c>
      <c r="W34" s="12" t="n">
        <v>-340047.438102</v>
      </c>
      <c r="X34" s="5" t="n">
        <v>23</v>
      </c>
      <c r="Y34" s="3" t="inlineStr">
        <is>
          <t>capgemini -213,237; novartis -85,873; shell -33,693</t>
        </is>
      </c>
      <c r="Z34" s="3" t="inlineStr">
        <is>
          <t>9000 Mbps at 3267 &gt; 10000 Mbps at 1807 USD</t>
        </is>
      </c>
      <c r="AA34" s="3" t="inlineStr">
        <is>
          <t>simmons-bank 1807 USD</t>
        </is>
      </c>
      <c r="AB34" s="7" t="n"/>
    </row>
    <row r="35">
      <c r="A35" s="5" t="inlineStr">
        <is>
          <t>US-MPLS-1000-researched</t>
        </is>
      </c>
      <c r="B35" s="5" t="inlineStr">
        <is>
          <t>US</t>
        </is>
      </c>
      <c r="C35" s="5" t="inlineStr">
        <is>
          <t>MPLS</t>
        </is>
      </c>
      <c r="D35" s="5" t="n">
        <v>1000</v>
      </c>
      <c r="E35" s="13" t="inlineStr">
        <is>
          <t>approved by Christian Bartosch</t>
        </is>
      </c>
      <c r="F35" s="7" t="inlineStr">
        <is>
          <t>Approve</t>
        </is>
      </c>
      <c r="G35" s="8" t="inlineStr">
        <is>
          <t>Lightyear median for an all-inclusive managed MPLS service at 1 Gbps. Approved on 13 Oct, and lost to a re-promotion.</t>
        </is>
      </c>
      <c r="H35" s="9">
        <f>J35*0.75</f>
        <v/>
      </c>
      <c r="I35" s="9">
        <f>J35*1.25</f>
        <v/>
      </c>
      <c r="J35" s="10" t="n">
        <v>1439</v>
      </c>
      <c r="K35" s="5" t="inlineStr">
        <is>
          <t>USD</t>
        </is>
      </c>
      <c r="L35" s="10" t="n">
        <v>1439</v>
      </c>
      <c r="M35" s="10" t="n"/>
      <c r="N35" s="11">
        <f>IF(OR(L35="",M35=""),"",L35/M35)</f>
        <v/>
      </c>
      <c r="O35" s="5" t="inlineStr">
        <is>
          <t>none - new tier</t>
        </is>
      </c>
      <c r="P35" s="3" t="inlineStr">
        <is>
          <t>single source; read from a snippet</t>
        </is>
      </c>
      <c r="Q35" s="3" t="inlineStr">
        <is>
          <t>MPLS 1000Mbps MRC</t>
        </is>
      </c>
      <c r="R35" s="5" t="inlineStr">
        <is>
          <t>Lightyear; AGGREGATOR/SNIPPET_ONLY</t>
        </is>
      </c>
      <c r="S35" s="3" t="inlineStr">
        <is>
          <t>MPLS | $1,439 | $17,268 | All-inclusive managed service (1 Gbps)</t>
        </is>
      </c>
      <c r="T35" s="5" t="inlineStr">
        <is>
          <t>https://lightyear.ai/blogs/sd-wan-vs-mpls-cost-comparison</t>
        </is>
      </c>
      <c r="U35" s="5" t="inlineStr">
        <is>
          <t>2026</t>
        </is>
      </c>
      <c r="V35" s="5" t="inlineStr">
        <is>
          <t>toyota</t>
        </is>
      </c>
      <c r="W35" s="12" t="n">
        <v>0</v>
      </c>
      <c r="X35" s="5" t="n">
        <v>0</v>
      </c>
      <c r="Y35" s="3" t="inlineStr"/>
      <c r="Z35" s="3" t="inlineStr">
        <is>
          <t>no</t>
        </is>
      </c>
      <c r="AA35" s="3" t="inlineStr">
        <is>
          <t>abb 1439 USD; basf 1439 USD; bayer 1439 USD; maersk 1439 USD; mcdonalds 1439 USD; siemens 1439 USD; simmons-bank 1439 USD; toyota 1439 USD</t>
        </is>
      </c>
      <c r="AB35" s="7" t="n"/>
    </row>
    <row r="36">
      <c r="A36" s="5" t="inlineStr">
        <is>
          <t>AU-DIA-1000-researched</t>
        </is>
      </c>
      <c r="B36" s="5" t="inlineStr">
        <is>
          <t>AU</t>
        </is>
      </c>
      <c r="C36" s="5" t="inlineStr">
        <is>
          <t>DIA</t>
        </is>
      </c>
      <c r="D36" s="5" t="n">
        <v>1000</v>
      </c>
      <c r="E36" s="14" t="inlineStr">
        <is>
          <t>revoked by Christian Bartosch</t>
        </is>
      </c>
      <c r="F36" s="7" t="inlineStr">
        <is>
          <t>Reject</t>
        </is>
      </c>
      <c r="G36" s="8" t="inlineStr">
        <is>
          <t>An on-net data-centre DIA price (Nexthop), not site access. The same research cites A$2,500-8,000 for enterprise dedicated fibre.</t>
        </is>
      </c>
      <c r="H36" s="9">
        <f>J36*0.75</f>
        <v/>
      </c>
      <c r="I36" s="9">
        <f>J36*1.25</f>
        <v/>
      </c>
      <c r="J36" s="10" t="n">
        <v>499</v>
      </c>
      <c r="K36" s="5" t="inlineStr">
        <is>
          <t>AUD</t>
        </is>
      </c>
      <c r="L36" s="10" t="n">
        <v>337.16</v>
      </c>
      <c r="M36" s="10" t="n">
        <v>742</v>
      </c>
      <c r="N36" s="11">
        <f>IF(OR(L36="",M36=""),"",L36/M36)</f>
        <v/>
      </c>
      <c r="O36" s="5" t="inlineStr">
        <is>
          <t>SEED</t>
        </is>
      </c>
      <c r="P36" s="3" t="inlineStr">
        <is>
          <t>consumer; single source</t>
        </is>
      </c>
      <c r="Q36" s="3" t="inlineStr"/>
      <c r="R36" s="5" t="inlineStr">
        <is>
          <t>traced in review; REVIEWER_TRACED</t>
        </is>
      </c>
      <c r="S36" s="3" t="inlineStr">
        <is>
          <t xml:space="preserve"> not retail MRCs. Residential NBN (consumer, ACCC June 2025): 100 Mbps median advertised price ~A$65-80/mo (not enterprise). AU DIA (Dedicated Internet Access – direct fibre): Nexthop AU lists 1 Gbps datacenter DIA at A$499/mo (24-month, on-net); Vocus Fast Fibre (direct fibre, enterprise) from A$339/mo excl. GST for 250 Mbps+. AyeTech 2026 guide cites enterprise dedicated fibre 1</t>
        </is>
      </c>
      <c r="T36" s="5" t="inlineStr">
        <is>
          <t>https://www.nexthop.com.au/dedicated-internet-access/</t>
        </is>
      </c>
      <c r="U36" s="5" t="inlineStr">
        <is>
          <t>2025</t>
        </is>
      </c>
      <c r="V36" s="5" t="inlineStr">
        <is>
          <t>woolworths</t>
        </is>
      </c>
      <c r="W36" s="12" t="n">
        <v>0</v>
      </c>
      <c r="X36" s="5" t="n">
        <v>0</v>
      </c>
      <c r="Y36" s="3" t="inlineStr"/>
      <c r="Z36" s="3" t="inlineStr">
        <is>
          <t>no</t>
        </is>
      </c>
      <c r="AA36" s="3" t="inlineStr"/>
      <c r="AB36" s="7" t="inlineStr">
        <is>
          <t>https://www.nexthop.com.au/dedicated-internet-access/</t>
        </is>
      </c>
    </row>
    <row r="37">
      <c r="A37" s="5" t="inlineStr">
        <is>
          <t>DE-BROADBAND_PON-75-researched</t>
        </is>
      </c>
      <c r="B37" s="5" t="inlineStr">
        <is>
          <t>DE</t>
        </is>
      </c>
      <c r="C37" s="5" t="inlineStr">
        <is>
          <t>BROADBAND_PON</t>
        </is>
      </c>
      <c r="D37" s="5" t="n">
        <v>75</v>
      </c>
      <c r="E37" s="14" t="inlineStr">
        <is>
          <t>revoked by Christian Bartosch</t>
        </is>
      </c>
      <c r="F37" s="7" t="inlineStr">
        <is>
          <t>Reject</t>
        </is>
      </c>
      <c r="G37" s="8" t="inlineStr">
        <is>
          <t>A wholesale bitstream price cap for subsidised networks (BMDV L2-BSA). A business pays the retail price on top of it.</t>
        </is>
      </c>
      <c r="H37" s="9">
        <f>J37*0.75</f>
        <v/>
      </c>
      <c r="I37" s="9">
        <f>J37*1.25</f>
        <v/>
      </c>
      <c r="J37" s="10" t="n">
        <v>19.22</v>
      </c>
      <c r="K37" s="5" t="inlineStr">
        <is>
          <t>EUR</t>
        </is>
      </c>
      <c r="L37" s="10" t="n">
        <v>22.06</v>
      </c>
      <c r="M37" s="10" t="n"/>
      <c r="N37" s="11">
        <f>IF(OR(L37="",M37=""),"",L37/M37)</f>
        <v/>
      </c>
      <c r="O37" s="5" t="inlineStr">
        <is>
          <t>none - new tier</t>
        </is>
      </c>
      <c r="P37" s="3" t="inlineStr">
        <is>
          <t>wholesale; read from a snippet; re-prices lower tiers</t>
        </is>
      </c>
      <c r="Q37" s="3" t="inlineStr">
        <is>
          <t>DE BROADBAND_PON wholesale bitstream L2-BSA 50-99 Mbps MRC (regulatory price cap)</t>
        </is>
      </c>
      <c r="R37" s="5" t="inlineStr">
        <is>
          <t>BMDV / Bundesnetzagentur (German Federal Ministry for Digital Affairs); REGULATOR/SNIPPET_ONLY</t>
        </is>
      </c>
      <c r="S37" s="3" t="inlineStr">
        <is>
          <t>50 – 99 Mbit/s … L2-BSA Überlassungsentgelt … 19,22 €</t>
        </is>
      </c>
      <c r="T37" s="5" t="inlineStr">
        <is>
          <t>https://www.bmv.de/SharedDocs/DE/Anlage/DG/vorleistungspreise.pdf?__blob=publicationFile</t>
        </is>
      </c>
      <c r="U37" s="5" t="inlineStr">
        <is>
          <t>2024-12</t>
        </is>
      </c>
      <c r="V37" s="5" t="inlineStr">
        <is>
          <t>fresenius</t>
        </is>
      </c>
      <c r="W37" s="12" t="n">
        <v>0</v>
      </c>
      <c r="X37" s="5" t="n">
        <v>0</v>
      </c>
      <c r="Y37" s="3" t="inlineStr"/>
      <c r="Z37" s="3" t="inlineStr">
        <is>
          <t>50 Mbps at 64 &gt; 75 Mbps at 22 USD</t>
        </is>
      </c>
      <c r="AA37" s="3" t="inlineStr">
        <is>
          <t>fresenius 19.22 EUR</t>
        </is>
      </c>
      <c r="AB37" s="7" t="n"/>
    </row>
    <row r="38">
      <c r="A38" s="5" t="inlineStr">
        <is>
          <t>DE-BROADBAND_PON-150-researched</t>
        </is>
      </c>
      <c r="B38" s="5" t="inlineStr">
        <is>
          <t>DE</t>
        </is>
      </c>
      <c r="C38" s="5" t="inlineStr">
        <is>
          <t>BROADBAND_PON</t>
        </is>
      </c>
      <c r="D38" s="5" t="n">
        <v>150</v>
      </c>
      <c r="E38" s="14" t="inlineStr">
        <is>
          <t>revoked by Christian Bartosch</t>
        </is>
      </c>
      <c r="F38" s="7" t="inlineStr">
        <is>
          <t>Reject</t>
        </is>
      </c>
      <c r="G38" s="8" t="inlineStr">
        <is>
          <t>A wholesale bitstream price cap for subsidised networks (BMDV L2-BSA). A business pays the retail price on top of it.</t>
        </is>
      </c>
      <c r="H38" s="9">
        <f>J38*0.75</f>
        <v/>
      </c>
      <c r="I38" s="9">
        <f>J38*1.25</f>
        <v/>
      </c>
      <c r="J38" s="10" t="n">
        <v>21.55</v>
      </c>
      <c r="K38" s="5" t="inlineStr">
        <is>
          <t>EUR</t>
        </is>
      </c>
      <c r="L38" s="10" t="n">
        <v>24.74</v>
      </c>
      <c r="M38" s="10" t="n"/>
      <c r="N38" s="11">
        <f>IF(OR(L38="",M38=""),"",L38/M38)</f>
        <v/>
      </c>
      <c r="O38" s="5" t="inlineStr">
        <is>
          <t>none - new tier</t>
        </is>
      </c>
      <c r="P38" s="3" t="inlineStr">
        <is>
          <t>wholesale; read from a snippet; re-prices lower tiers</t>
        </is>
      </c>
      <c r="Q38" s="3" t="inlineStr">
        <is>
          <t>DE BROADBAND_PON wholesale bitstream L2-BSA 100-199 Mbps MRC (regulatory price cap)</t>
        </is>
      </c>
      <c r="R38" s="5" t="inlineStr">
        <is>
          <t>BMDV / Bundesnetzagentur; REGULATOR/SNIPPET_ONLY</t>
        </is>
      </c>
      <c r="S38" s="3" t="inlineStr">
        <is>
          <t>100 – 199 Mbit/s … L2-BSA … 21,55 €</t>
        </is>
      </c>
      <c r="T38" s="5" t="inlineStr">
        <is>
          <t>https://www.bmv.de/SharedDocs/DE/Anlage/DG/vorleistungspreise.pdf?__blob=publicationFile</t>
        </is>
      </c>
      <c r="U38" s="5" t="inlineStr">
        <is>
          <t>2024-12</t>
        </is>
      </c>
      <c r="V38" s="5" t="inlineStr">
        <is>
          <t>fresenius</t>
        </is>
      </c>
      <c r="W38" s="12" t="n">
        <v>0</v>
      </c>
      <c r="X38" s="5" t="n">
        <v>0</v>
      </c>
      <c r="Y38" s="3" t="inlineStr"/>
      <c r="Z38" s="3" t="inlineStr">
        <is>
          <t>100 Mbps at 78 &gt; 150 Mbps at 25 USD</t>
        </is>
      </c>
      <c r="AA38" s="3" t="inlineStr">
        <is>
          <t>fresenius 21.55 EUR</t>
        </is>
      </c>
      <c r="AB38" s="7" t="n"/>
    </row>
    <row r="39">
      <c r="A39" s="5" t="inlineStr">
        <is>
          <t>DE-BROADBAND_PON-750-researched</t>
        </is>
      </c>
      <c r="B39" s="5" t="inlineStr">
        <is>
          <t>DE</t>
        </is>
      </c>
      <c r="C39" s="5" t="inlineStr">
        <is>
          <t>BROADBAND_PON</t>
        </is>
      </c>
      <c r="D39" s="5" t="n">
        <v>750</v>
      </c>
      <c r="E39" s="14" t="inlineStr">
        <is>
          <t>revoked by Christian Bartosch</t>
        </is>
      </c>
      <c r="F39" s="7" t="inlineStr">
        <is>
          <t>Reject</t>
        </is>
      </c>
      <c r="G39" s="8" t="inlineStr">
        <is>
          <t>A wholesale bitstream price cap for subsidised networks (BMDV L2-BSA). A business pays the retail price on top of it.</t>
        </is>
      </c>
      <c r="H39" s="9">
        <f>J39*0.75</f>
        <v/>
      </c>
      <c r="I39" s="9">
        <f>J39*1.25</f>
        <v/>
      </c>
      <c r="J39" s="10" t="n">
        <v>30.74</v>
      </c>
      <c r="K39" s="5" t="inlineStr">
        <is>
          <t>EUR</t>
        </is>
      </c>
      <c r="L39" s="10" t="n">
        <v>35.29</v>
      </c>
      <c r="M39" s="10" t="n"/>
      <c r="N39" s="11">
        <f>IF(OR(L39="",M39=""),"",L39/M39)</f>
        <v/>
      </c>
      <c r="O39" s="5" t="inlineStr">
        <is>
          <t>none - new tier</t>
        </is>
      </c>
      <c r="P39" s="3" t="inlineStr">
        <is>
          <t>wholesale; read from a snippet; re-prices lower tiers</t>
        </is>
      </c>
      <c r="Q39" s="3" t="inlineStr">
        <is>
          <t>DE BROADBAND_PON wholesale bitstream L2-BSA 500-999 Mbps MRC (regulatory price cap)</t>
        </is>
      </c>
      <c r="R39" s="5" t="inlineStr">
        <is>
          <t>BMDV / Bundesnetzagentur; REGULATOR/SNIPPET_ONLY</t>
        </is>
      </c>
      <c r="S39" s="3" t="inlineStr">
        <is>
          <t>500 – 999 Mbit/s … L2-BSA … 30,74 €</t>
        </is>
      </c>
      <c r="T39" s="5" t="inlineStr">
        <is>
          <t>https://www.bmv.de/SharedDocs/DE/Anlage/DG/vorleistungspreise.pdf?__blob=publicationFile</t>
        </is>
      </c>
      <c r="U39" s="5" t="inlineStr">
        <is>
          <t>2024-12</t>
        </is>
      </c>
      <c r="V39" s="5" t="inlineStr">
        <is>
          <t>fresenius</t>
        </is>
      </c>
      <c r="W39" s="12" t="n">
        <v>0</v>
      </c>
      <c r="X39" s="5" t="n">
        <v>0</v>
      </c>
      <c r="Y39" s="3" t="inlineStr"/>
      <c r="Z39" s="3" t="inlineStr">
        <is>
          <t>500 Mbps at 132 &gt; 750 Mbps at 35 USD</t>
        </is>
      </c>
      <c r="AA39" s="3" t="inlineStr">
        <is>
          <t>fresenius 30.74 EUR</t>
        </is>
      </c>
      <c r="AB39" s="7" t="n"/>
    </row>
    <row r="40">
      <c r="A40" s="5" t="inlineStr">
        <is>
          <t>DE-BROADBAND_PON-1000-researched</t>
        </is>
      </c>
      <c r="B40" s="5" t="inlineStr">
        <is>
          <t>DE</t>
        </is>
      </c>
      <c r="C40" s="5" t="inlineStr">
        <is>
          <t>BROADBAND_PON</t>
        </is>
      </c>
      <c r="D40" s="5" t="n">
        <v>1000</v>
      </c>
      <c r="E40" s="14" t="inlineStr">
        <is>
          <t>revoked by Christian Bartosch</t>
        </is>
      </c>
      <c r="F40" s="7" t="inlineStr">
        <is>
          <t>Reject</t>
        </is>
      </c>
      <c r="G40" s="8" t="inlineStr">
        <is>
          <t>A wholesale bitstream price cap for subsidised networks (BMDV L2-BSA). The source itself says retail will be higher after the margin stack.</t>
        </is>
      </c>
      <c r="H40" s="9">
        <f>J40*0.75</f>
        <v/>
      </c>
      <c r="I40" s="9">
        <f>J40*1.25</f>
        <v/>
      </c>
      <c r="J40" s="10" t="n">
        <v>41.97</v>
      </c>
      <c r="K40" s="5" t="inlineStr">
        <is>
          <t>EUR</t>
        </is>
      </c>
      <c r="L40" s="10" t="n">
        <v>48.18</v>
      </c>
      <c r="M40" s="10" t="n">
        <v>171</v>
      </c>
      <c r="N40" s="11">
        <f>IF(OR(L40="",M40=""),"",L40/M40)</f>
        <v/>
      </c>
      <c r="O40" s="5" t="inlineStr">
        <is>
          <t>SEED</t>
        </is>
      </c>
      <c r="P40" s="3" t="inlineStr">
        <is>
          <t>wholesale; read from a snippet; re-prices lower tiers</t>
        </is>
      </c>
      <c r="Q40" s="3" t="inlineStr">
        <is>
          <t>DE BROADBAND_PON wholesale bitstream L2-BSA 1000 Mbps MRC (regulatory price cap)</t>
        </is>
      </c>
      <c r="R40" s="5" t="inlineStr">
        <is>
          <t>BMDV / Bundesnetzagentur; REGULATOR/SNIPPET_ONLY</t>
        </is>
      </c>
      <c r="S40" s="3" t="inlineStr">
        <is>
          <t>1000 Mbit/s … L2-BSA … 41,97 €</t>
        </is>
      </c>
      <c r="T40" s="5" t="inlineStr">
        <is>
          <t>https://www.bmv.de/SharedDocs/DE/Anlage/DG/vorleistungspreise.pdf?__blob=publicationFile</t>
        </is>
      </c>
      <c r="U40" s="5" t="inlineStr">
        <is>
          <t>2024-12</t>
        </is>
      </c>
      <c r="V40" s="5" t="inlineStr">
        <is>
          <t>fresenius</t>
        </is>
      </c>
      <c r="W40" s="12" t="n">
        <v>0</v>
      </c>
      <c r="X40" s="5" t="n">
        <v>0</v>
      </c>
      <c r="Y40" s="3" t="inlineStr"/>
      <c r="Z40" s="3" t="inlineStr">
        <is>
          <t>500 Mbps at 132 &gt; 1000 Mbps at 48 USD</t>
        </is>
      </c>
      <c r="AA40" s="3" t="inlineStr">
        <is>
          <t>fresenius 41.97 EUR</t>
        </is>
      </c>
      <c r="AB40" s="7" t="n"/>
    </row>
    <row r="41">
      <c r="A41" s="5" t="inlineStr">
        <is>
          <t>ES-DIA-600-researched</t>
        </is>
      </c>
      <c r="B41" s="5" t="inlineStr">
        <is>
          <t>ES</t>
        </is>
      </c>
      <c r="C41" s="5" t="inlineStr">
        <is>
          <t>DIA</t>
        </is>
      </c>
      <c r="D41" s="5" t="n">
        <v>600</v>
      </c>
      <c r="E41" s="14" t="inlineStr">
        <is>
          <t>revoked by Christian Bartosch</t>
        </is>
      </c>
      <c r="F41" s="7" t="inlineStr">
        <is>
          <t>Reject</t>
        </is>
      </c>
      <c r="G41" s="8" t="inlineStr">
        <is>
          <t>Rejected against a second Spanish source: a multi-network (3Net) circuit marked approximate pending a site survey, about twice Kompara's EUR 400-600 for 500 Mbps dedicated fibre. No circuit in the set uses it.</t>
        </is>
      </c>
      <c r="H41" s="9">
        <f>J41*0.75</f>
        <v/>
      </c>
      <c r="I41" s="9">
        <f>J41*1.25</f>
        <v/>
      </c>
      <c r="J41" s="10" t="n">
        <v>1100</v>
      </c>
      <c r="K41" s="5" t="inlineStr">
        <is>
          <t>EUR</t>
        </is>
      </c>
      <c r="L41" s="10" t="n">
        <v>1262.77</v>
      </c>
      <c r="M41" s="10" t="n"/>
      <c r="N41" s="11">
        <f>IF(OR(L41="",M41=""),"",L41/M41)</f>
        <v/>
      </c>
      <c r="O41" s="5" t="inlineStr">
        <is>
          <t>none - new tier</t>
        </is>
      </c>
      <c r="P41" s="3" t="inlineStr">
        <is>
          <t>single source</t>
        </is>
      </c>
      <c r="Q41" s="3" t="inlineStr"/>
      <c r="R41" s="5" t="inlineStr">
        <is>
          <t>traced in review; REVIEWER_TRACED</t>
        </is>
      </c>
      <c r="S41" s="3" t="inlineStr"/>
      <c r="T41" s="5" t="inlineStr">
        <is>
          <t>https://direct-telecom.es/internet/business_class_fibre/</t>
        </is>
      </c>
      <c r="U41" s="5" t="inlineStr">
        <is>
          <t>2025</t>
        </is>
      </c>
      <c r="V41" s="5" t="inlineStr">
        <is>
          <t>carrefour</t>
        </is>
      </c>
      <c r="W41" s="12" t="n">
        <v>0</v>
      </c>
      <c r="X41" s="5" t="n">
        <v>0</v>
      </c>
      <c r="Y41" s="3" t="inlineStr"/>
      <c r="Z41" s="3" t="inlineStr">
        <is>
          <t>no</t>
        </is>
      </c>
      <c r="AA41" s="3" t="inlineStr"/>
      <c r="AB41" s="7" t="inlineStr">
        <is>
          <t>https://direct-telecom.es/internet/business_class_fibre/</t>
        </is>
      </c>
    </row>
    <row r="42">
      <c r="A42" s="5" t="inlineStr">
        <is>
          <t>ES-DIA-1000-researched</t>
        </is>
      </c>
      <c r="B42" s="5" t="inlineStr">
        <is>
          <t>ES</t>
        </is>
      </c>
      <c r="C42" s="5" t="inlineStr">
        <is>
          <t>DIA</t>
        </is>
      </c>
      <c r="D42" s="5" t="n">
        <v>1000</v>
      </c>
      <c r="E42" s="14" t="inlineStr">
        <is>
          <t>revoked by Christian Bartosch</t>
        </is>
      </c>
      <c r="F42" s="7" t="inlineStr">
        <is>
          <t>Reject</t>
        </is>
      </c>
      <c r="G42" s="8" t="inlineStr">
        <is>
          <t>Rejected against a second Spanish source: Kompara's 2026 market range for 1 Gbps dedicated fibre is EUR 700-1,200, and Direct Telecom's own page also lists a 1 Gbps dedicated circuit at EUR 1,860 - EUR 449 is the cheaper of its two figures. The seed it would replace, EUR 1,132, sits inside the range.</t>
        </is>
      </c>
      <c r="H42" s="9">
        <f>J42*0.75</f>
        <v/>
      </c>
      <c r="I42" s="9">
        <f>J42*1.25</f>
        <v/>
      </c>
      <c r="J42" s="10" t="n">
        <v>449</v>
      </c>
      <c r="K42" s="5" t="inlineStr">
        <is>
          <t>EUR</t>
        </is>
      </c>
      <c r="L42" s="10" t="n">
        <v>515.4400000000001</v>
      </c>
      <c r="M42" s="10" t="n">
        <v>1300</v>
      </c>
      <c r="N42" s="11">
        <f>IF(OR(L42="",M42=""),"",L42/M42)</f>
        <v/>
      </c>
      <c r="O42" s="5" t="inlineStr">
        <is>
          <t>SEED</t>
        </is>
      </c>
      <c r="P42" s="3" t="inlineStr">
        <is>
          <t>single source; re-prices lower tiers</t>
        </is>
      </c>
      <c r="Q42" s="3" t="inlineStr"/>
      <c r="R42" s="5" t="inlineStr">
        <is>
          <t>traced in review; REVIEWER_TRACED</t>
        </is>
      </c>
      <c r="S42" s="3" t="inlineStr">
        <is>
          <t>ional players plus resellers. Telefónica Global Solutions offers DIA on its own Tier 1 global infrastructure. A domestic reseller (Direct Telecom) lists 100/100 Mbps DIA at €159.99/month and 1 Gbps dedicated circuit at €449/month (2025 prices). Telefónica and MasOrange are exploring acquisition of Vodafone España (as of mid-2025); if completed this would reduce the market to three</t>
        </is>
      </c>
      <c r="T42" s="5" t="inlineStr">
        <is>
          <t>https://direct-telecom.es/internet/business_class_fibre/</t>
        </is>
      </c>
      <c r="U42" s="5" t="inlineStr">
        <is>
          <t>2025</t>
        </is>
      </c>
      <c r="V42" s="5" t="inlineStr">
        <is>
          <t>inditex</t>
        </is>
      </c>
      <c r="W42" s="12" t="n">
        <v>-229632.48</v>
      </c>
      <c r="X42" s="5" t="n">
        <v>28</v>
      </c>
      <c r="Y42" s="3" t="inlineStr">
        <is>
          <t>iberdrola -164,023; volkswagen -65,609</t>
        </is>
      </c>
      <c r="Z42" s="3" t="inlineStr">
        <is>
          <t>500 Mbps at 574 &gt; 1000 Mbps at 515 USD</t>
        </is>
      </c>
      <c r="AA42" s="3" t="inlineStr"/>
      <c r="AB42" s="7" t="inlineStr">
        <is>
          <t>https://direct-telecom.es/internet/business_class_fibre/</t>
        </is>
      </c>
    </row>
    <row r="43">
      <c r="A43" s="5" t="inlineStr">
        <is>
          <t>FR-BROADBAND_PON-100-researched</t>
        </is>
      </c>
      <c r="B43" s="5" t="inlineStr">
        <is>
          <t>FR</t>
        </is>
      </c>
      <c r="C43" s="5" t="inlineStr">
        <is>
          <t>BROADBAND_PON</t>
        </is>
      </c>
      <c r="D43" s="5" t="n">
        <v>100</v>
      </c>
      <c r="E43" s="14" t="inlineStr">
        <is>
          <t>revoked by Christian Bartosch</t>
        </is>
      </c>
      <c r="F43" s="7" t="inlineStr">
        <is>
          <t>Reject</t>
        </is>
      </c>
      <c r="G43" s="8" t="inlineStr">
        <is>
          <t>ARCEP's cheapest consumer double-play range, incl. VAT, not a business tariff.</t>
        </is>
      </c>
      <c r="H43" s="9">
        <f>J43*0.75</f>
        <v/>
      </c>
      <c r="I43" s="9">
        <f>J43*1.25</f>
        <v/>
      </c>
      <c r="J43" s="10" t="n">
        <v>26.12</v>
      </c>
      <c r="K43" s="5" t="inlineStr">
        <is>
          <t>EUR</t>
        </is>
      </c>
      <c r="L43" s="10" t="n">
        <v>29.99</v>
      </c>
      <c r="M43" s="10" t="n">
        <v>68</v>
      </c>
      <c r="N43" s="11">
        <f>IF(OR(L43="",M43=""),"",L43/M43)</f>
        <v/>
      </c>
      <c r="O43" s="5" t="inlineStr">
        <is>
          <t>SEED</t>
        </is>
      </c>
      <c r="P43" s="3" t="inlineStr">
        <is>
          <t>consumer; single source; read from a snippet; re-prices lower tiers</t>
        </is>
      </c>
      <c r="Q43" s="3" t="inlineStr">
        <is>
          <t>BROADBAND_PON France cheapest FttH/coaxial consumer double-play plan</t>
        </is>
      </c>
      <c r="R43" s="5" t="inlineStr">
        <is>
          <t>ARCEP; REGULATOR/SNIPPET_ONLY</t>
        </is>
      </c>
      <c r="S43" s="3" t="inlineStr">
        <is>
          <t>Les tarifs mensuels des offres FttH ou avec terminaison coaxiale les moins chères sont compris, en juin 2025, entre 20 € et 36 € TTC</t>
        </is>
      </c>
      <c r="T43" s="5" t="inlineStr">
        <is>
          <t>https://www.arcep.fr/uploads/tx_gspublication/etude-tarifs-services-fixes-France-evolution-2015-2025_janv2026.pdf</t>
        </is>
      </c>
      <c r="U43" s="5" t="inlineStr">
        <is>
          <t>2025-06</t>
        </is>
      </c>
      <c r="V43" s="5" t="inlineStr">
        <is>
          <t>air-france-klm</t>
        </is>
      </c>
      <c r="W43" s="12" t="n">
        <v>-725746.5878903648</v>
      </c>
      <c r="X43" s="5" t="n">
        <v>1788</v>
      </c>
      <c r="Y43" s="3" t="inlineStr">
        <is>
          <t>bnp-paribas -509,835; heidelberg-materials -93,018; allianz -69,541</t>
        </is>
      </c>
      <c r="Z43" s="3" t="inlineStr">
        <is>
          <t>50 Mbps at 56 &gt; 100 Mbps at 30 USD</t>
        </is>
      </c>
      <c r="AA43" s="3" t="inlineStr">
        <is>
          <t>air-france-klm 20 EUR; air-france-klm 36 EUR; air-france-klm 26.12 EUR</t>
        </is>
      </c>
      <c r="AB43" s="7" t="n"/>
    </row>
    <row r="44">
      <c r="A44" s="5" t="inlineStr">
        <is>
          <t>GB-BROADBAND_HFC-100-researched</t>
        </is>
      </c>
      <c r="B44" s="5" t="inlineStr">
        <is>
          <t>GB</t>
        </is>
      </c>
      <c r="C44" s="5" t="inlineStr">
        <is>
          <t>BROADBAND_HFC</t>
        </is>
      </c>
      <c r="D44" s="5" t="n">
        <v>100</v>
      </c>
      <c r="E44" s="14" t="inlineStr">
        <is>
          <t>revoked by Christian Bartosch</t>
        </is>
      </c>
      <c r="F44" s="7" t="inlineStr">
        <is>
          <t>Reject</t>
        </is>
      </c>
      <c r="G44" s="8" t="inlineStr">
        <is>
          <t>The Voom 200 price, filed at 100 Mbps as the closest available. GB HFC 200 already carries it.</t>
        </is>
      </c>
      <c r="H44" s="9">
        <f>J44*0.75</f>
        <v/>
      </c>
      <c r="I44" s="9">
        <f>J44*1.25</f>
        <v/>
      </c>
      <c r="J44" s="10" t="n">
        <v>29.95</v>
      </c>
      <c r="K44" s="5" t="inlineStr">
        <is>
          <t>GBP</t>
        </is>
      </c>
      <c r="L44" s="10" t="n">
        <v>40.13</v>
      </c>
      <c r="M44" s="10" t="n">
        <v>80</v>
      </c>
      <c r="N44" s="11">
        <f>IF(OR(L44="",M44=""),"",L44/M44)</f>
        <v/>
      </c>
      <c r="O44" s="5" t="inlineStr">
        <is>
          <t>SEED</t>
        </is>
      </c>
      <c r="P44" s="3" t="inlineStr">
        <is>
          <t>single source; read from a snippet; re-prices lower tiers</t>
        </is>
      </c>
      <c r="Q44" s="3" t="inlineStr">
        <is>
          <t>BROADBAND_HFC 100Mbps MRC</t>
        </is>
      </c>
      <c r="R44" s="5" t="inlineStr">
        <is>
          <t>Amvia (citing Virgin Media Business); AGGREGATOR/SNIPPET_ONLY</t>
        </is>
      </c>
      <c r="S44" s="3" t="inlineStr">
        <is>
          <t>Virgin Media Business £29.95/mo ex VAT (Voom 200) 24 months</t>
        </is>
      </c>
      <c r="T44" s="5" t="inlineStr">
        <is>
          <t>https://amvia.co.uk/compare/business-broadband</t>
        </is>
      </c>
      <c r="U44" s="5" t="inlineStr">
        <is>
          <t>2025</t>
        </is>
      </c>
      <c r="V44" s="5" t="inlineStr">
        <is>
          <t>siemens</t>
        </is>
      </c>
      <c r="W44" s="12" t="n">
        <v>-200926.0855755058</v>
      </c>
      <c r="X44" s="5" t="n">
        <v>464</v>
      </c>
      <c r="Y44" s="3" t="inlineStr">
        <is>
          <t>saint-gobain -174,237; nhs-england -7,802; network-rail -7,368</t>
        </is>
      </c>
      <c r="Z44" s="3" t="inlineStr">
        <is>
          <t>50 Mbps at 65 &gt; 100 Mbps at 40 USD; 250 Mbps at 108 &gt; 400 Mbps at 47 USD; 500 Mbps at 140 &gt; 600 Mbps at 52 USD</t>
        </is>
      </c>
      <c r="AA44" s="3" t="inlineStr">
        <is>
          <t>siemens ~29.95 GBP</t>
        </is>
      </c>
      <c r="AB44" s="7" t="n"/>
    </row>
    <row r="45">
      <c r="A45" s="5" t="inlineStr">
        <is>
          <t>GB-BROADBAND_HFC-500-researched</t>
        </is>
      </c>
      <c r="B45" s="5" t="inlineStr">
        <is>
          <t>GB</t>
        </is>
      </c>
      <c r="C45" s="5" t="inlineStr">
        <is>
          <t>BROADBAND_HFC</t>
        </is>
      </c>
      <c r="D45" s="5" t="n">
        <v>500</v>
      </c>
      <c r="E45" s="14" t="inlineStr">
        <is>
          <t>revoked by Christian Bartosch</t>
        </is>
      </c>
      <c r="F45" s="7" t="inlineStr">
        <is>
          <t>Reject</t>
        </is>
      </c>
      <c r="G45" s="8" t="inlineStr">
        <is>
          <t>BT Business Full Fibre 500 at GBP 55 is a fibre (PON) tariff filed under cable (HFC). Virgin's cable range has no 500 tier.</t>
        </is>
      </c>
      <c r="H45" s="9">
        <f>J45*0.75</f>
        <v/>
      </c>
      <c r="I45" s="9">
        <f>J45*1.25</f>
        <v/>
      </c>
      <c r="J45" s="10" t="n">
        <v>55</v>
      </c>
      <c r="K45" s="5" t="inlineStr">
        <is>
          <t>GBP</t>
        </is>
      </c>
      <c r="L45" s="10" t="n">
        <v>73.7</v>
      </c>
      <c r="M45" s="10" t="n">
        <v>140</v>
      </c>
      <c r="N45" s="11">
        <f>IF(OR(L45="",M45=""),"",L45/M45)</f>
        <v/>
      </c>
      <c r="O45" s="5" t="inlineStr">
        <is>
          <t>SEED</t>
        </is>
      </c>
      <c r="P45" s="3" t="inlineStr">
        <is>
          <t>floor; single source; re-prices lower tiers</t>
        </is>
      </c>
      <c r="Q45" s="3" t="inlineStr"/>
      <c r="R45" s="5" t="inlineStr">
        <is>
          <t>traced in review; REVIEWER_TRACED</t>
        </is>
      </c>
      <c r="S45" s="3" t="inlineStr">
        <is>
          <t>he model's assumed GB MPLS 100 Mbps of USD 750–1,250/month is within this band.
**GB — BROADBAND_PON / HFC**
BT Business published tariffs (verified May 2026): Full Fibre 100 Mbps £35/month ex-VAT; Full Fibre 500 Mbps £55/month; Full Fibre 900 Mbps £65/month. Virgin Media Business (cable/HFC): from £29.95/month. Vodafone Business entry-level fro…</t>
        </is>
      </c>
      <c r="T45" s="5" t="inlineStr">
        <is>
          <t>https://business.bt.com/products/broadband-and-internet/deals/</t>
        </is>
      </c>
      <c r="U45" s="5" t="inlineStr">
        <is>
          <t>2026-05</t>
        </is>
      </c>
      <c r="V45" s="5" t="inlineStr">
        <is>
          <t>saint-gobain</t>
        </is>
      </c>
      <c r="W45" s="12" t="n">
        <v>-294808.3011926232</v>
      </c>
      <c r="X45" s="5" t="n">
        <v>409</v>
      </c>
      <c r="Y45" s="3" t="inlineStr">
        <is>
          <t>deutsche-post-dhl -248,677; royal-mail -32,436; ups -13,695</t>
        </is>
      </c>
      <c r="Z45" s="3" t="inlineStr">
        <is>
          <t>100 Mbps at 80 &gt; 200 Mbps at 40 USD; 250 Mbps at 108 &gt; 400 Mbps at 47 USD; 500 Mbps at 74 &gt; 600 Mbps at 52 USD</t>
        </is>
      </c>
      <c r="AA45" s="3" t="inlineStr"/>
      <c r="AB45" s="7" t="inlineStr">
        <is>
          <t>https://business.bt.com/products/broadband-and-internet/deals/</t>
        </is>
      </c>
    </row>
    <row r="46">
      <c r="A46" s="5" t="inlineStr">
        <is>
          <t>GB-BROADBAND_PON-1000-researched</t>
        </is>
      </c>
      <c r="B46" s="5" t="inlineStr">
        <is>
          <t>GB</t>
        </is>
      </c>
      <c r="C46" s="5" t="inlineStr">
        <is>
          <t>BROADBAND_PON</t>
        </is>
      </c>
      <c r="D46" s="5" t="n">
        <v>1000</v>
      </c>
      <c r="E46" s="14" t="inlineStr">
        <is>
          <t>revoked by Christian Bartosch</t>
        </is>
      </c>
      <c r="F46" s="7" t="inlineStr">
        <is>
          <t>Reject</t>
        </is>
      </c>
      <c r="G46" s="8" t="inlineStr">
        <is>
          <t>Openreach GEA-FTTP wholesale. Retail ISPs add margin, VAT and equipment.</t>
        </is>
      </c>
      <c r="H46" s="9">
        <f>J46*0.75</f>
        <v/>
      </c>
      <c r="I46" s="9">
        <f>J46*1.25</f>
        <v/>
      </c>
      <c r="J46" s="10" t="n">
        <v>39.1</v>
      </c>
      <c r="K46" s="5" t="inlineStr">
        <is>
          <t>GBP</t>
        </is>
      </c>
      <c r="L46" s="10" t="n">
        <v>52.39</v>
      </c>
      <c r="M46" s="10" t="n">
        <v>155</v>
      </c>
      <c r="N46" s="11">
        <f>IF(OR(L46="",M46=""),"",L46/M46)</f>
        <v/>
      </c>
      <c r="O46" s="5" t="inlineStr">
        <is>
          <t>SEED</t>
        </is>
      </c>
      <c r="P46" s="3" t="inlineStr">
        <is>
          <t>wholesale; single source; read from a snippet; re-prices lower tiers</t>
        </is>
      </c>
      <c r="Q46" s="3" t="inlineStr">
        <is>
          <t>BROADBAND_PON 1000 Mbps wholesale MRC (Openreach GEA-FTTP, asymmetric)</t>
        </is>
      </c>
      <c r="R46" s="5" t="inlineStr">
        <is>
          <t>thinkbroadband.com; TRADE_PRESS/SNIPPET_ONLY</t>
        </is>
      </c>
      <c r="S46" s="3" t="inlineStr">
        <is>
          <t>The more common 1000 Mbps download and 115 Mbps upload service is a lot cheaper at £39.10 a month</t>
        </is>
      </c>
      <c r="T46" s="5" t="inlineStr">
        <is>
          <t>https://www.thinkbroadband.com/news/openreach-reduces-the-price-of-one-of-its-gigabit-fttp-services</t>
        </is>
      </c>
      <c r="U46" s="5" t="inlineStr">
        <is>
          <t>2025</t>
        </is>
      </c>
      <c r="V46" s="5" t="inlineStr">
        <is>
          <t>tesco</t>
        </is>
      </c>
      <c r="W46" s="12" t="n">
        <v>0</v>
      </c>
      <c r="X46" s="5" t="n">
        <v>0</v>
      </c>
      <c r="Y46" s="3" t="inlineStr"/>
      <c r="Z46" s="3" t="inlineStr">
        <is>
          <t>50 Mbps at 58 &gt; 100 Mbps at 47 USD; 500 Mbps at 120 &gt; 1000 Mbps at 52 USD</t>
        </is>
      </c>
      <c r="AA46" s="3" t="inlineStr">
        <is>
          <t>tesco 39.10 GBP</t>
        </is>
      </c>
      <c r="AB46" s="7" t="n"/>
    </row>
    <row r="47">
      <c r="A47" s="5" t="inlineStr">
        <is>
          <t>GB-DIA-50-researched</t>
        </is>
      </c>
      <c r="B47" s="5" t="inlineStr">
        <is>
          <t>GB</t>
        </is>
      </c>
      <c r="C47" s="5" t="inlineStr">
        <is>
          <t>DIA</t>
        </is>
      </c>
      <c r="D47" s="5" t="n">
        <v>50</v>
      </c>
      <c r="E47" s="14" t="inlineStr">
        <is>
          <t>revoked by Christian Bartosch</t>
        </is>
      </c>
      <c r="F47" s="7" t="inlineStr">
        <is>
          <t>Reject</t>
        </is>
      </c>
      <c r="G47" s="8" t="inlineStr">
        <is>
          <t>Cambridge Fibre, a regional altnet on a 60-month term. The research itself says it is not a national benchmark.</t>
        </is>
      </c>
      <c r="H47" s="9">
        <f>J47*0.75</f>
        <v/>
      </c>
      <c r="I47" s="9">
        <f>J47*1.25</f>
        <v/>
      </c>
      <c r="J47" s="10" t="n">
        <v>119</v>
      </c>
      <c r="K47" s="5" t="inlineStr">
        <is>
          <t>GBP</t>
        </is>
      </c>
      <c r="L47" s="10" t="n">
        <v>159.45</v>
      </c>
      <c r="M47" s="10" t="n"/>
      <c r="N47" s="11">
        <f>IF(OR(L47="",M47=""),"",L47/M47)</f>
        <v/>
      </c>
      <c r="O47" s="5" t="inlineStr">
        <is>
          <t>none - new tier</t>
        </is>
      </c>
      <c r="P47" s="3" t="inlineStr">
        <is>
          <t>single source; read from a snippet</t>
        </is>
      </c>
      <c r="Q47" s="3" t="inlineStr">
        <is>
          <t>DIA 50Mbps MRC</t>
        </is>
      </c>
      <c r="R47" s="5" t="inlineStr">
        <is>
          <t>Cambridge Fibre; COMPANY_PUBLISHED/SNIPPET_ONLY</t>
        </is>
      </c>
      <c r="S47" s="3" t="inlineStr">
        <is>
          <t>Dedicated Internet 50 Mbps — £119 / month — 60 months</t>
        </is>
      </c>
      <c r="T47" s="5" t="inlineStr">
        <is>
          <t>https://www.cambridgefibre.uk/business-dedicated-internet-access</t>
        </is>
      </c>
      <c r="U47" s="5" t="inlineStr">
        <is>
          <t>2026</t>
        </is>
      </c>
      <c r="V47" s="5" t="inlineStr">
        <is>
          <t>network-rail</t>
        </is>
      </c>
      <c r="W47" s="12" t="n">
        <v>0</v>
      </c>
      <c r="X47" s="5" t="n">
        <v>0</v>
      </c>
      <c r="Y47" s="3" t="inlineStr"/>
      <c r="Z47" s="3" t="inlineStr">
        <is>
          <t>no</t>
        </is>
      </c>
      <c r="AA47" s="3" t="inlineStr">
        <is>
          <t>network-rail 119 GBP</t>
        </is>
      </c>
      <c r="AB47" s="7" t="n"/>
    </row>
    <row r="48">
      <c r="A48" s="5" t="inlineStr">
        <is>
          <t>GB-DIA-100-researched</t>
        </is>
      </c>
      <c r="B48" s="5" t="inlineStr">
        <is>
          <t>GB</t>
        </is>
      </c>
      <c r="C48" s="5" t="inlineStr">
        <is>
          <t>DIA</t>
        </is>
      </c>
      <c r="D48" s="5" t="n">
        <v>100</v>
      </c>
      <c r="E48" s="14" t="inlineStr">
        <is>
          <t>revoked by Christian Bartosch</t>
        </is>
      </c>
      <c r="F48" s="7" t="inlineStr">
        <is>
          <t>Reject</t>
        </is>
      </c>
      <c r="G48" s="8" t="inlineStr">
        <is>
          <t>Rejected against second sources: the GBP 185 is in Virgin Media Business's FAQ, while the same page lists its 100 Mbps plan from GBP 312. Vodafone is from GBP 206-222 on 60 months and Purple gives GBP 180-350 on 36 (2026). The card's survey band, GBP 150-350, already spans them and records the 185 as its floor.</t>
        </is>
      </c>
      <c r="H48" s="9">
        <f>J48*0.75</f>
        <v/>
      </c>
      <c r="I48" s="9">
        <f>J48*1.25</f>
        <v/>
      </c>
      <c r="J48" s="10" t="n">
        <v>185</v>
      </c>
      <c r="K48" s="5" t="inlineStr">
        <is>
          <t>GBP</t>
        </is>
      </c>
      <c r="L48" s="10" t="n">
        <v>247.89</v>
      </c>
      <c r="M48" s="10" t="n">
        <v>335</v>
      </c>
      <c r="N48" s="11">
        <f>IF(OR(L48="",M48=""),"",L48/M48)</f>
        <v/>
      </c>
      <c r="O48" s="5" t="inlineStr">
        <is>
          <t>SEED</t>
        </is>
      </c>
      <c r="P48" s="3" t="inlineStr">
        <is>
          <t>floor; read from a snippet</t>
        </is>
      </c>
      <c r="Q48" s="3" t="inlineStr">
        <is>
          <t>GB DIA 100 Mbps MRC – Virgin Media Business published tariff</t>
        </is>
      </c>
      <c r="R48" s="5" t="inlineStr">
        <is>
          <t>Virgin Media Business; COMPANY_PUBLISHED/SNIPPET_ONLY</t>
        </is>
      </c>
      <c r="S48" s="3" t="inlineStr">
        <is>
          <t>Our packages start at £185 per month which provided 100Mbps upload and download speeds.</t>
        </is>
      </c>
      <c r="T48" s="5" t="inlineStr">
        <is>
          <t>https://www.virginmediabusiness.co.uk/connectivity/internet-access/leased-lines-for-business/</t>
        </is>
      </c>
      <c r="U48" s="5" t="inlineStr">
        <is>
          <t>2025</t>
        </is>
      </c>
      <c r="V48" s="5" t="inlineStr">
        <is>
          <t>unilever</t>
        </is>
      </c>
      <c r="W48" s="12" t="n">
        <v>-2414090.918069141</v>
      </c>
      <c r="X48" s="5" t="n">
        <v>2429</v>
      </c>
      <c r="Y48" s="3" t="inlineStr">
        <is>
          <t>nhs-england -1,121,155; saint-gobain -796,760; santander -280,459</t>
        </is>
      </c>
      <c r="Z48" s="3" t="inlineStr">
        <is>
          <t>no</t>
        </is>
      </c>
      <c r="AA48" s="3" t="inlineStr">
        <is>
          <t>deutsche-post-dhl 206 GBP; eon 139 GBP; iberdrola 130 GBP; nhs-england 222 GBP; unilever 185 GBP</t>
        </is>
      </c>
      <c r="AB48" s="7" t="n"/>
    </row>
    <row r="49">
      <c r="A49" s="5" t="inlineStr">
        <is>
          <t>GB-DIA-500-researched</t>
        </is>
      </c>
      <c r="B49" s="5" t="inlineStr">
        <is>
          <t>GB</t>
        </is>
      </c>
      <c r="C49" s="5" t="inlineStr">
        <is>
          <t>DIA</t>
        </is>
      </c>
      <c r="D49" s="5" t="n">
        <v>500</v>
      </c>
      <c r="E49" s="14" t="inlineStr">
        <is>
          <t>revoked by Christian Bartosch</t>
        </is>
      </c>
      <c r="F49" s="7" t="inlineStr">
        <is>
          <t>Reject</t>
        </is>
      </c>
      <c r="G49" s="8" t="inlineStr">
        <is>
          <t>Rejected against second sources: Vodafone's published 'from' price on its longest, 60-month term (GBP 243 without a managed router). Virgin Media Business is from GBP 332 and Purple gives GBP 280-550 (2026). The card now prices 500 Mbps at the survey's GBP 250-600 band.</t>
        </is>
      </c>
      <c r="H49" s="9">
        <f>J49*0.75</f>
        <v/>
      </c>
      <c r="I49" s="9">
        <f>J49*1.25</f>
        <v/>
      </c>
      <c r="J49" s="10" t="n">
        <v>257</v>
      </c>
      <c r="K49" s="5" t="inlineStr">
        <is>
          <t>GBP</t>
        </is>
      </c>
      <c r="L49" s="10" t="n">
        <v>344.37</v>
      </c>
      <c r="M49" s="10" t="n">
        <v>569</v>
      </c>
      <c r="N49" s="11">
        <f>IF(OR(L49="",M49=""),"",L49/M49)</f>
        <v/>
      </c>
      <c r="O49" s="5" t="inlineStr">
        <is>
          <t>SEED</t>
        </is>
      </c>
      <c r="P49" s="3" t="inlineStr">
        <is>
          <t>floor; single source; re-prices lower tiers</t>
        </is>
      </c>
      <c r="Q49" s="3" t="inlineStr">
        <is>
          <t>DIA 500Mbps MRC – Vodafone Business published retail tariff</t>
        </is>
      </c>
      <c r="R49" s="5" t="inlineStr">
        <is>
          <t>Vodafone Business; COMPANY_PUBLISHED/FULL_PAGE</t>
        </is>
      </c>
      <c r="S49" s="3" t="inlineStr">
        <is>
          <t>Vodafone Dedicated Internet Access (Managed) 500 Mbps Monthly price from £257 (ex. VAT) 60 months</t>
        </is>
      </c>
      <c r="T49" s="5" t="inlineStr">
        <is>
          <t>https://www.vodafone.co.uk/business/connectivity/data-connectivity/dedicated-internet-access</t>
        </is>
      </c>
      <c r="U49" s="5" t="inlineStr">
        <is>
          <t>2025</t>
        </is>
      </c>
      <c r="V49" s="5" t="inlineStr">
        <is>
          <t>nhs-england</t>
        </is>
      </c>
      <c r="W49" s="12" t="n">
        <v>-1514556.076986082</v>
      </c>
      <c r="X49" s="5" t="n">
        <v>520</v>
      </c>
      <c r="Y49" s="3" t="inlineStr">
        <is>
          <t>deutsche-post-dhl -1,229,843; royal-mail -177,285; ups -73,380</t>
        </is>
      </c>
      <c r="Z49" s="3" t="inlineStr">
        <is>
          <t>300 Mbps at 481 &gt; 500 Mbps at 344 USD</t>
        </is>
      </c>
      <c r="AA49" s="3" t="inlineStr">
        <is>
          <t>deutsche-post-dhl 243 GBP; nhs-england 257 GBP</t>
        </is>
      </c>
      <c r="AB49" s="7" t="n"/>
    </row>
    <row r="50">
      <c r="A50" s="5" t="inlineStr">
        <is>
          <t>GB-DIA-1000-researched</t>
        </is>
      </c>
      <c r="B50" s="5" t="inlineStr">
        <is>
          <t>GB</t>
        </is>
      </c>
      <c r="C50" s="5" t="inlineStr">
        <is>
          <t>DIA</t>
        </is>
      </c>
      <c r="D50" s="5" t="n">
        <v>1000</v>
      </c>
      <c r="E50" s="14" t="inlineStr">
        <is>
          <t>revoked by Christian Bartosch</t>
        </is>
      </c>
      <c r="F50" s="7" t="inlineStr">
        <is>
          <t>Reject</t>
        </is>
      </c>
      <c r="G50" s="8" t="inlineStr">
        <is>
          <t>Rejected against second sources: CompareNET's indicative 'from' price is the bottom of every 2026 figure for 1 Gbps - Spitfire from GBP 203, Vodafone from GBP 267-300 (60 months), Virgin Media Business from GBP 358, Purple GBP 340-850. As a 1 Gbps rate it would also undercut the 300 and 500 Mbps tiers.</t>
        </is>
      </c>
      <c r="H50" s="9">
        <f>J50*0.75</f>
        <v/>
      </c>
      <c r="I50" s="9">
        <f>J50*1.25</f>
        <v/>
      </c>
      <c r="J50" s="10" t="n">
        <v>195</v>
      </c>
      <c r="K50" s="5" t="inlineStr">
        <is>
          <t>GBP</t>
        </is>
      </c>
      <c r="L50" s="10" t="n">
        <v>261.29</v>
      </c>
      <c r="M50" s="10" t="n">
        <v>737</v>
      </c>
      <c r="N50" s="11">
        <f>IF(OR(L50="",M50=""),"",L50/M50)</f>
        <v/>
      </c>
      <c r="O50" s="5" t="inlineStr">
        <is>
          <t>SEED</t>
        </is>
      </c>
      <c r="P50" s="3" t="inlineStr">
        <is>
          <t>floor; single source; read from a snippet; re-prices lower tiers</t>
        </is>
      </c>
      <c r="Q50" s="3" t="inlineStr">
        <is>
          <t>GB enterprise leased line (DIA) monthly cost — 1 Gbps enterprise</t>
        </is>
      </c>
      <c r="R50" s="5" t="inlineStr">
        <is>
          <t>ComparenetUK; AGGREGATOR/SNIPPET_ONLY</t>
        </is>
      </c>
      <c r="S50" s="3" t="inlineStr">
        <is>
          <t>1Gbps Symmetric — From £195/month, enterprise-grade with dedicated account manager</t>
        </is>
      </c>
      <c r="T50" s="5" t="inlineStr">
        <is>
          <t>https://comparenet.co.uk/dedicated-fibre-leased-lines</t>
        </is>
      </c>
      <c r="U50" s="5" t="inlineStr">
        <is>
          <t>2026</t>
        </is>
      </c>
      <c r="V50" s="5" t="inlineStr">
        <is>
          <t>iberdrola</t>
        </is>
      </c>
      <c r="W50" s="12" t="n">
        <v>-614625.9740418924</v>
      </c>
      <c r="X50" s="5" t="n">
        <v>124</v>
      </c>
      <c r="Y50" s="3" t="inlineStr">
        <is>
          <t>nhs-england -183,990; siemens -119,345; network-rail -119,345</t>
        </is>
      </c>
      <c r="Z50" s="3" t="inlineStr">
        <is>
          <t>500 Mbps at 569 &gt; 1000 Mbps at 261 USD</t>
        </is>
      </c>
      <c r="AA50" s="3" t="inlineStr">
        <is>
          <t>deutsche-post-dhl 267 GBP; iberdrola 195 GBP; nhs-england 300 GBP</t>
        </is>
      </c>
      <c r="AB50" s="7" t="n"/>
    </row>
    <row r="51">
      <c r="A51" s="5" t="inlineStr">
        <is>
          <t>GB-DIA-10000-researched</t>
        </is>
      </c>
      <c r="B51" s="5" t="inlineStr">
        <is>
          <t>GB</t>
        </is>
      </c>
      <c r="C51" s="5" t="inlineStr">
        <is>
          <t>DIA</t>
        </is>
      </c>
      <c r="D51" s="5" t="n">
        <v>10000</v>
      </c>
      <c r="E51" s="14" t="inlineStr">
        <is>
          <t>revoked by Christian Bartosch</t>
        </is>
      </c>
      <c r="F51" s="7" t="inlineStr">
        <is>
          <t>Reject</t>
        </is>
      </c>
      <c r="G51" s="8" t="inlineStr">
        <is>
          <t>Rejected against second sources: Spitfire's 'from' GBP 450 is about a third of typical 10 Gbps prices - CompareNET from GBP 650, Purple GBP 1,200-3,500 (2026). No circuit in the set uses it.</t>
        </is>
      </c>
      <c r="H51" s="9">
        <f>J51*0.75</f>
        <v/>
      </c>
      <c r="I51" s="9">
        <f>J51*1.25</f>
        <v/>
      </c>
      <c r="J51" s="10" t="n">
        <v>450</v>
      </c>
      <c r="K51" s="5" t="inlineStr">
        <is>
          <t>GBP</t>
        </is>
      </c>
      <c r="L51" s="10" t="n">
        <v>602.97</v>
      </c>
      <c r="M51" s="10" t="n">
        <v>2881</v>
      </c>
      <c r="N51" s="11">
        <f>IF(OR(L51="",M51=""),"",L51/M51)</f>
        <v/>
      </c>
      <c r="O51" s="5" t="inlineStr">
        <is>
          <t>SEED</t>
        </is>
      </c>
      <c r="P51" s="3" t="inlineStr">
        <is>
          <t>single source; read from a snippet; re-prices lower tiers</t>
        </is>
      </c>
      <c r="Q51" s="3" t="inlineStr">
        <is>
          <t>DIA 10000Mbps MRC (Spitfire, retail)</t>
        </is>
      </c>
      <c r="R51" s="5" t="inlineStr">
        <is>
          <t>Spitfire Networks — product page; COMPANY_PUBLISHED/SNIPPET_ONLY</t>
        </is>
      </c>
      <c r="S51" s="3" t="inlineStr">
        <is>
          <t>10 Gbps From: £450/month — 10Gbps Upload — 10Gbps Download</t>
        </is>
      </c>
      <c r="T51" s="5" t="inlineStr">
        <is>
          <t>https://www.spitfire.co.uk/connectivity/fibre-ethernet-leased-line/</t>
        </is>
      </c>
      <c r="U51" s="5" t="inlineStr">
        <is>
          <t>2026</t>
        </is>
      </c>
      <c r="V51" s="5" t="inlineStr">
        <is>
          <t>deutsche-post-dhl</t>
        </is>
      </c>
      <c r="W51" s="12" t="n">
        <v>-214313.89</v>
      </c>
      <c r="X51" s="5" t="n">
        <v>9</v>
      </c>
      <c r="Y51" s="3" t="inlineStr">
        <is>
          <t>capgemini -214,314</t>
        </is>
      </c>
      <c r="Z51" s="3" t="inlineStr">
        <is>
          <t>9000 Mbps at 2707 &gt; 10000 Mbps at 603 USD</t>
        </is>
      </c>
      <c r="AA51" s="3" t="inlineStr">
        <is>
          <t>deutsche-post-dhl 450 GBP</t>
        </is>
      </c>
      <c r="AB51" s="7" t="n"/>
    </row>
    <row r="52">
      <c r="A52" s="5" t="inlineStr">
        <is>
          <t>GB-ETHERNET-100-researched</t>
        </is>
      </c>
      <c r="B52" s="5" t="inlineStr">
        <is>
          <t>GB</t>
        </is>
      </c>
      <c r="C52" s="5" t="inlineStr">
        <is>
          <t>ETHERNET</t>
        </is>
      </c>
      <c r="D52" s="5" t="n">
        <v>100</v>
      </c>
      <c r="E52" s="14" t="inlineStr">
        <is>
          <t>revoked by Christian Bartosch</t>
        </is>
      </c>
      <c r="F52" s="7" t="inlineStr">
        <is>
          <t>Reject</t>
        </is>
      </c>
      <c r="G52" s="8" t="inlineStr">
        <is>
          <t>Openreach EAD wholesale rental. An enterprise buys Ethernet from a retailer at a margin over it.</t>
        </is>
      </c>
      <c r="H52" s="9">
        <f>J52*0.75</f>
        <v/>
      </c>
      <c r="I52" s="9">
        <f>J52*1.25</f>
        <v/>
      </c>
      <c r="J52" s="10" t="n">
        <v>203.5</v>
      </c>
      <c r="K52" s="5" t="inlineStr">
        <is>
          <t>GBP</t>
        </is>
      </c>
      <c r="L52" s="10" t="n">
        <v>272.68</v>
      </c>
      <c r="M52" s="10" t="n"/>
      <c r="N52" s="11">
        <f>IF(OR(L52="",M52=""),"",L52/M52)</f>
        <v/>
      </c>
      <c r="O52" s="5" t="inlineStr">
        <is>
          <t>none - new tier</t>
        </is>
      </c>
      <c r="P52" s="3" t="inlineStr">
        <is>
          <t>wholesale; single source</t>
        </is>
      </c>
      <c r="Q52" s="3" t="inlineStr">
        <is>
          <t>ETHERNET 100Mbps MRC – Openreach EAD wholesale Area 2</t>
        </is>
      </c>
      <c r="R52" s="5" t="inlineStr">
        <is>
          <t>Openreach; PRIMARY_FILING/FULL_PAGE</t>
        </is>
      </c>
      <c r="S52" s="3" t="inlineStr">
        <is>
          <t>EAD 100 - Area 2 | 01/07/2026 | Annual Rental £ Exc VAT 2,442.00</t>
        </is>
      </c>
      <c r="T52" s="5" t="inlineStr">
        <is>
          <t>https://www.openreach.co.uk/orpg/home/products/pricing/loadProductPriceDetails.do?data=0d0zetWgShsjqKWjcN2Y5WJA8BGGqsBLxL7IgSM4fRpZ6rNZujnCs99NbIKJZPD9hXYmiijxH6wrCQm97GZMyQ%3D%3D</t>
        </is>
      </c>
      <c r="U52" s="5" t="inlineStr">
        <is>
          <t>2026-07</t>
        </is>
      </c>
      <c r="V52" s="5" t="inlineStr">
        <is>
          <t>nhs-england</t>
        </is>
      </c>
      <c r="W52" s="12" t="n">
        <v>0</v>
      </c>
      <c r="X52" s="5" t="n">
        <v>0</v>
      </c>
      <c r="Y52" s="3" t="inlineStr"/>
      <c r="Z52" s="3" t="inlineStr">
        <is>
          <t>no</t>
        </is>
      </c>
      <c r="AA52" s="3" t="inlineStr">
        <is>
          <t>eon 139 GBP; nhs-england 203.50 GBP; ups 203.50 GBP</t>
        </is>
      </c>
      <c r="AB52" s="7" t="n"/>
    </row>
    <row r="53">
      <c r="A53" s="5" t="inlineStr">
        <is>
          <t>GB-ETHERNET-1000-researched</t>
        </is>
      </c>
      <c r="B53" s="5" t="inlineStr">
        <is>
          <t>GB</t>
        </is>
      </c>
      <c r="C53" s="5" t="inlineStr">
        <is>
          <t>ETHERNET</t>
        </is>
      </c>
      <c r="D53" s="5" t="n">
        <v>1000</v>
      </c>
      <c r="E53" s="14" t="inlineStr">
        <is>
          <t>revoked by Christian Bartosch</t>
        </is>
      </c>
      <c r="F53" s="7" t="inlineStr">
        <is>
          <t>Reject</t>
        </is>
      </c>
      <c r="G53" s="8" t="inlineStr">
        <is>
          <t>Openreach EAD wholesale rental. An enterprise buys Ethernet from a retailer at a margin over it.</t>
        </is>
      </c>
      <c r="H53" s="9">
        <f>J53*0.75</f>
        <v/>
      </c>
      <c r="I53" s="9">
        <f>J53*1.25</f>
        <v/>
      </c>
      <c r="J53" s="10" t="n">
        <v>196.5</v>
      </c>
      <c r="K53" s="5" t="inlineStr">
        <is>
          <t>GBP</t>
        </is>
      </c>
      <c r="L53" s="10" t="n">
        <v>263.3</v>
      </c>
      <c r="M53" s="10" t="n">
        <v>737</v>
      </c>
      <c r="N53" s="11">
        <f>IF(OR(L53="",M53=""),"",L53/M53)</f>
        <v/>
      </c>
      <c r="O53" s="5" t="inlineStr">
        <is>
          <t>SEED</t>
        </is>
      </c>
      <c r="P53" s="3" t="inlineStr">
        <is>
          <t>wholesale; floor; re-prices lower tiers</t>
        </is>
      </c>
      <c r="Q53" s="3" t="inlineStr">
        <is>
          <t>ETHERNET 1000Mbps MRC</t>
        </is>
      </c>
      <c r="R53" s="5" t="inlineStr">
        <is>
          <t>Openreach; REGULATOR/FULL_PAGE</t>
        </is>
      </c>
      <c r="S53" s="3" t="inlineStr">
        <is>
          <t>EAD 1000 - CLA annual rental £2,442 exc VAT (01/07/2026); divided by 12 = £203.50/month</t>
        </is>
      </c>
      <c r="T53" s="5" t="inlineStr">
        <is>
          <t>https://www.openreach.co.uk/orpg/home/products/pricing/loadProductPriceDetails.do?data=0d0zetWgShsjqKWjcN2Y5WJA8BGGqsBLxL7IgSM4fRpZ6rNZujnCs99NbIKJZPD9hXYmiijxH6wrCQm97GZMyQ%3D%3D</t>
        </is>
      </c>
      <c r="U53" s="5" t="inlineStr">
        <is>
          <t>2026-07</t>
        </is>
      </c>
      <c r="V53" s="5" t="inlineStr">
        <is>
          <t>santander</t>
        </is>
      </c>
      <c r="W53" s="12" t="n">
        <v>-1683785.43322319</v>
      </c>
      <c r="X53" s="5" t="n">
        <v>351</v>
      </c>
      <c r="Y53" s="3" t="inlineStr">
        <is>
          <t>saint-gobain -281,152; nhs-england -222,993; royal-mail -191,733</t>
        </is>
      </c>
      <c r="Z53" s="3" t="inlineStr">
        <is>
          <t>500 Mbps at 569 &gt; 1000 Mbps at 263 USD</t>
        </is>
      </c>
      <c r="AA53" s="3" t="inlineStr">
        <is>
          <t>deutsche-post-dhl 155 GBP; eon 203 GBP; heidelberg-materials 260000 None; nhs-england 188.50 GBP; saint-gobain 176 GBP; santander 203.50 GBP; santander 2,358 GBP; shell 2442 GBP</t>
        </is>
      </c>
      <c r="AB53" s="7" t="n"/>
    </row>
    <row r="54">
      <c r="A54" s="5" t="inlineStr">
        <is>
          <t>GB-ETHERNET-10000-researched</t>
        </is>
      </c>
      <c r="B54" s="5" t="inlineStr">
        <is>
          <t>GB</t>
        </is>
      </c>
      <c r="C54" s="5" t="inlineStr">
        <is>
          <t>ETHERNET</t>
        </is>
      </c>
      <c r="D54" s="5" t="n">
        <v>10000</v>
      </c>
      <c r="E54" s="14" t="inlineStr">
        <is>
          <t>revoked by Christian Bartosch</t>
        </is>
      </c>
      <c r="F54" s="7" t="inlineStr">
        <is>
          <t>Reject</t>
        </is>
      </c>
      <c r="G54" s="8" t="inlineStr">
        <is>
          <t>Openreach EAD wholesale rental. An enterprise buys Ethernet from a retailer at a margin over it.</t>
        </is>
      </c>
      <c r="H54" s="9">
        <f>J54*0.75</f>
        <v/>
      </c>
      <c r="I54" s="9">
        <f>J54*1.25</f>
        <v/>
      </c>
      <c r="J54" s="10" t="n">
        <v>415</v>
      </c>
      <c r="K54" s="5" t="inlineStr">
        <is>
          <t>GBP</t>
        </is>
      </c>
      <c r="L54" s="10" t="n">
        <v>556.08</v>
      </c>
      <c r="M54" s="10" t="n">
        <v>2881</v>
      </c>
      <c r="N54" s="11">
        <f>IF(OR(L54="",M54=""),"",L54/M54)</f>
        <v/>
      </c>
      <c r="O54" s="5" t="inlineStr">
        <is>
          <t>SEED</t>
        </is>
      </c>
      <c r="P54" s="3" t="inlineStr">
        <is>
          <t>wholesale; single source; re-prices lower tiers</t>
        </is>
      </c>
      <c r="Q54" s="3" t="inlineStr">
        <is>
          <t>ETHERNET 10000Mbps MRC – Openreach EAD wholesale Area 2</t>
        </is>
      </c>
      <c r="R54" s="5" t="inlineStr">
        <is>
          <t>Openreach; PRIMARY_FILING/FULL_PAGE</t>
        </is>
      </c>
      <c r="S54" s="3" t="inlineStr">
        <is>
          <t>EAD 10000 - Area 2 | 01/07/2026 | Annual Rental £ Exc VAT 4,980.00</t>
        </is>
      </c>
      <c r="T54" s="5" t="inlineStr">
        <is>
          <t>https://www.openreach.co.uk/orpg/home/products/pricing/loadProductPriceDetails.do?data=0d0zetWgShsjqKWjcN2Y5WJA8BGGqsBLxL7IgSM4fRpZ6rNZujnCs99NbIKJZPD9hXYmiijxH6wrCQm97GZMyQ%3D%3D</t>
        </is>
      </c>
      <c r="U54" s="5" t="inlineStr">
        <is>
          <t>2026-07</t>
        </is>
      </c>
      <c r="V54" s="5" t="inlineStr">
        <is>
          <t>nhs-england</t>
        </is>
      </c>
      <c r="W54" s="12" t="n">
        <v>-6527385.909447081</v>
      </c>
      <c r="X54" s="5" t="n">
        <v>572</v>
      </c>
      <c r="Y54" s="3" t="inlineStr">
        <is>
          <t>nhs-england -5,423,338; network-rail -497,440; capgemini -222,470</t>
        </is>
      </c>
      <c r="Z54" s="3" t="inlineStr">
        <is>
          <t>9000 Mbps at 2707 &gt; 10000 Mbps at 556 USD</t>
        </is>
      </c>
      <c r="AA54" s="3" t="inlineStr">
        <is>
          <t>deutsche-post-dhl 304 GBP; eon 450 GBP; nhs-england 415 GBP; saint-gobain 453 GBP; santander 415 GBP</t>
        </is>
      </c>
      <c r="AB54" s="7" t="n"/>
    </row>
    <row r="55">
      <c r="A55" s="5" t="inlineStr">
        <is>
          <t>GB-MPLS-100-researched</t>
        </is>
      </c>
      <c r="B55" s="5" t="inlineStr">
        <is>
          <t>GB</t>
        </is>
      </c>
      <c r="C55" s="5" t="inlineStr">
        <is>
          <t>MPLS</t>
        </is>
      </c>
      <c r="D55" s="5" t="n">
        <v>100</v>
      </c>
      <c r="E55" s="14" t="inlineStr">
        <is>
          <t>revoked by Christian Bartosch</t>
        </is>
      </c>
      <c r="F55" s="7" t="inlineStr">
        <is>
          <t>Reject</t>
        </is>
      </c>
      <c r="G55" s="8" t="inlineStr">
        <is>
          <t>The figure does not appear in the research that produced it.</t>
        </is>
      </c>
      <c r="H55" s="9">
        <f>J55*0.75</f>
        <v/>
      </c>
      <c r="I55" s="9">
        <f>J55*1.25</f>
        <v/>
      </c>
      <c r="J55" s="10" t="n">
        <v>200</v>
      </c>
      <c r="K55" s="5" t="inlineStr">
        <is>
          <t>GBP</t>
        </is>
      </c>
      <c r="L55" s="10" t="n">
        <v>267.99</v>
      </c>
      <c r="M55" s="10" t="n">
        <v>1000</v>
      </c>
      <c r="N55" s="11">
        <f>IF(OR(L55="",M55=""),"",L55/M55)</f>
        <v/>
      </c>
      <c r="O55" s="5" t="inlineStr">
        <is>
          <t>SEED</t>
        </is>
      </c>
      <c r="P55" s="3" t="inlineStr">
        <is>
          <t>single source; untraceable</t>
        </is>
      </c>
      <c r="Q55" s="3" t="inlineStr"/>
      <c r="R55" s="5" t="inlineStr">
        <is>
          <t>run narrative (the disposition was replaced)</t>
        </is>
      </c>
      <c r="S55" s="3" t="inlineStr"/>
      <c r="T55" s="5" t="inlineStr"/>
      <c r="U55" s="5" t="inlineStr">
        <is>
          <t>2026</t>
        </is>
      </c>
      <c r="V55" s="5" t="inlineStr">
        <is>
          <t>iberdrola</t>
        </is>
      </c>
      <c r="W55" s="12" t="n">
        <v>0</v>
      </c>
      <c r="X55" s="5" t="n">
        <v>0</v>
      </c>
      <c r="Y55" s="3" t="inlineStr"/>
      <c r="Z55" s="3" t="inlineStr">
        <is>
          <t>no</t>
        </is>
      </c>
      <c r="AA55" s="3" t="inlineStr"/>
      <c r="AB55" s="7" t="n"/>
    </row>
    <row r="56">
      <c r="A56" s="5" t="inlineStr">
        <is>
          <t>IE-BROADBAND_PON-1000-researched</t>
        </is>
      </c>
      <c r="B56" s="5" t="inlineStr">
        <is>
          <t>IE</t>
        </is>
      </c>
      <c r="C56" s="5" t="inlineStr">
        <is>
          <t>BROADBAND_PON</t>
        </is>
      </c>
      <c r="D56" s="5" t="n">
        <v>1000</v>
      </c>
      <c r="E56" s="14" t="inlineStr">
        <is>
          <t>revoked by Christian Bartosch</t>
        </is>
      </c>
      <c r="F56" s="7" t="inlineStr">
        <is>
          <t>Reject</t>
        </is>
      </c>
      <c r="G56" s="8" t="inlineStr">
        <is>
          <t>Eir's EUR 49.99 is a 24-month introductory price; the standard rate is EUR 69.99. Re-promote at that.</t>
        </is>
      </c>
      <c r="H56" s="9">
        <f>J56*0.75</f>
        <v/>
      </c>
      <c r="I56" s="9">
        <f>J56*1.25</f>
        <v/>
      </c>
      <c r="J56" s="10" t="n">
        <v>49.99</v>
      </c>
      <c r="K56" s="5" t="inlineStr">
        <is>
          <t>EUR</t>
        </is>
      </c>
      <c r="L56" s="10" t="n">
        <v>57.39</v>
      </c>
      <c r="M56" s="10" t="n">
        <v>155</v>
      </c>
      <c r="N56" s="11">
        <f>IF(OR(L56="",M56=""),"",L56/M56)</f>
        <v/>
      </c>
      <c r="O56" s="5" t="inlineStr">
        <is>
          <t>SEED</t>
        </is>
      </c>
      <c r="P56" s="3" t="inlineStr">
        <is>
          <t>promotional; single source; read from a snippet; re-prices lower tiers</t>
        </is>
      </c>
      <c r="Q56" s="3" t="inlineStr">
        <is>
          <t>IE business broadband – Eir SMB monthly price (gigabit FTTP)</t>
        </is>
      </c>
      <c r="R56" s="5" t="inlineStr">
        <is>
          <t>eir.ie; COMPANY_PUBLISHED/SNIPPET_ONLY</t>
        </is>
      </c>
      <c r="S56" s="3" t="inlineStr">
        <is>
          <t>€49.99 a month for 24 months. €69.99 a month thereafter.</t>
        </is>
      </c>
      <c r="T56" s="5" t="inlineStr">
        <is>
          <t>https://www.eir.ie/business/smb/business-broadband/</t>
        </is>
      </c>
      <c r="U56" s="5" t="inlineStr">
        <is>
          <t>2026</t>
        </is>
      </c>
      <c r="V56" s="5" t="inlineStr">
        <is>
          <t>tesco</t>
        </is>
      </c>
      <c r="W56" s="12" t="n">
        <v>-3152.93556125</v>
      </c>
      <c r="X56" s="5" t="n">
        <v>3</v>
      </c>
      <c r="Y56" s="3" t="inlineStr">
        <is>
          <t>novartis -3,153</t>
        </is>
      </c>
      <c r="Z56" s="3" t="inlineStr">
        <is>
          <t>500 Mbps at 120 &gt; 1000 Mbps at 57 USD</t>
        </is>
      </c>
      <c r="AA56" s="3" t="inlineStr">
        <is>
          <t>tesco 49.99 EUR</t>
        </is>
      </c>
      <c r="AB56" s="7" t="n"/>
    </row>
    <row r="57">
      <c r="A57" s="5" t="inlineStr">
        <is>
          <t>IT-ETHERNET-100-researched</t>
        </is>
      </c>
      <c r="B57" s="5" t="inlineStr">
        <is>
          <t>IT</t>
        </is>
      </c>
      <c r="C57" s="5" t="inlineStr">
        <is>
          <t>ETHERNET</t>
        </is>
      </c>
      <c r="D57" s="5" t="n">
        <v>100</v>
      </c>
      <c r="E57" s="14" t="inlineStr">
        <is>
          <t>revoked by Christian Bartosch</t>
        </is>
      </c>
      <c r="F57" s="7" t="inlineStr">
        <is>
          <t>Reject</t>
        </is>
      </c>
      <c r="G57" s="8" t="inlineStr">
        <is>
          <t>Dated 2015, and the figure cannot be traced in the research that produced it.</t>
        </is>
      </c>
      <c r="H57" s="9">
        <f>J57*0.75</f>
        <v/>
      </c>
      <c r="I57" s="9">
        <f>J57*1.25</f>
        <v/>
      </c>
      <c r="J57" s="10" t="n">
        <v>3115</v>
      </c>
      <c r="K57" s="5" t="inlineStr">
        <is>
          <t>EUR</t>
        </is>
      </c>
      <c r="L57" s="10" t="n">
        <v>3575.94</v>
      </c>
      <c r="M57" s="10" t="n"/>
      <c r="N57" s="11">
        <f>IF(OR(L57="",M57=""),"",L57/M57)</f>
        <v/>
      </c>
      <c r="O57" s="5" t="inlineStr">
        <is>
          <t>none - new tier</t>
        </is>
      </c>
      <c r="P57" s="3" t="inlineStr">
        <is>
          <t>single source; untraceable; re-prices lower tiers</t>
        </is>
      </c>
      <c r="Q57" s="3" t="inlineStr"/>
      <c r="R57" s="5" t="inlineStr">
        <is>
          <t>run narrative (the disposition was replaced)</t>
        </is>
      </c>
      <c r="S57" s="3" t="inlineStr"/>
      <c r="T57" s="5" t="inlineStr"/>
      <c r="U57" s="5" t="inlineStr">
        <is>
          <t>2015</t>
        </is>
      </c>
      <c r="V57" s="5" t="inlineStr">
        <is>
          <t>allianz</t>
        </is>
      </c>
      <c r="W57" s="12" t="n">
        <v>0</v>
      </c>
      <c r="X57" s="5" t="n">
        <v>0</v>
      </c>
      <c r="Y57" s="3" t="inlineStr"/>
      <c r="Z57" s="3" t="inlineStr">
        <is>
          <t>100 Mbps at 3576 &gt; 500 Mbps at 956 USD</t>
        </is>
      </c>
      <c r="AA57" s="3" t="inlineStr"/>
      <c r="AB57" s="7" t="n"/>
    </row>
    <row r="58">
      <c r="A58" s="5" t="inlineStr">
        <is>
          <t>NL-BROADBAND_PON-100-researched</t>
        </is>
      </c>
      <c r="B58" s="5" t="inlineStr">
        <is>
          <t>NL</t>
        </is>
      </c>
      <c r="C58" s="5" t="inlineStr">
        <is>
          <t>BROADBAND_PON</t>
        </is>
      </c>
      <c r="D58" s="5" t="n">
        <v>100</v>
      </c>
      <c r="E58" s="14" t="inlineStr">
        <is>
          <t>revoked by Christian Bartosch</t>
        </is>
      </c>
      <c r="F58" s="7" t="inlineStr">
        <is>
          <t>Reject</t>
        </is>
      </c>
      <c r="G58" s="8" t="inlineStr">
        <is>
          <t>Eurostat's lowest advertised consumer price, PPP-adjusted, not a business tariff.</t>
        </is>
      </c>
      <c r="H58" s="9">
        <f>J58*0.75</f>
        <v/>
      </c>
      <c r="I58" s="9">
        <f>J58*1.25</f>
        <v/>
      </c>
      <c r="J58" s="10" t="n">
        <v>23.39</v>
      </c>
      <c r="K58" s="5" t="inlineStr">
        <is>
          <t>EUR</t>
        </is>
      </c>
      <c r="L58" s="10" t="n">
        <v>26.85</v>
      </c>
      <c r="M58" s="10" t="n">
        <v>62</v>
      </c>
      <c r="N58" s="11">
        <f>IF(OR(L58="",M58=""),"",L58/M58)</f>
        <v/>
      </c>
      <c r="O58" s="5" t="inlineStr">
        <is>
          <t>SEED</t>
        </is>
      </c>
      <c r="P58" s="3" t="inlineStr">
        <is>
          <t>single source; read from a snippet; re-prices lower tiers</t>
        </is>
      </c>
      <c r="Q58" s="3" t="inlineStr">
        <is>
          <t>BROADBAND_PON Netherlands lowest advertised standalone 30-100 Mbps (Eurostat/BEREC benchmark)</t>
        </is>
      </c>
      <c r="R58" s="5" t="inlineStr">
        <is>
          <t>Germanpedia / Eurostat; AGGREGATOR/SNIPPET_ONLY</t>
        </is>
      </c>
      <c r="S58" s="3" t="inlineStr">
        <is>
          <t>Netherlands | €37.86 | €23.39 | -38%</t>
        </is>
      </c>
      <c r="T58" s="5" t="inlineStr">
        <is>
          <t>https://germanpedia.com/broadband-prices-in-the-eu/</t>
        </is>
      </c>
      <c r="U58" s="5" t="inlineStr">
        <is>
          <t>2024</t>
        </is>
      </c>
      <c r="V58" s="5" t="inlineStr">
        <is>
          <t>air-france-klm</t>
        </is>
      </c>
      <c r="W58" s="12" t="n">
        <v>-2369.84292</v>
      </c>
      <c r="X58" s="5" t="n">
        <v>6</v>
      </c>
      <c r="Y58" s="3" t="inlineStr">
        <is>
          <t>shell -1,235; air-france-klm -1,135</t>
        </is>
      </c>
      <c r="Z58" s="3" t="inlineStr">
        <is>
          <t>50 Mbps at 53 &gt; 100 Mbps at 27 USD</t>
        </is>
      </c>
      <c r="AA58" s="3" t="inlineStr">
        <is>
          <t>air-france-klm 23.39 EUR</t>
        </is>
      </c>
      <c r="AB58" s="7" t="n"/>
    </row>
    <row r="59">
      <c r="A59" s="5" t="inlineStr">
        <is>
          <t>NZ-BROADBAND_PON-100-researched</t>
        </is>
      </c>
      <c r="B59" s="5" t="inlineStr">
        <is>
          <t>NZ</t>
        </is>
      </c>
      <c r="C59" s="5" t="inlineStr">
        <is>
          <t>BROADBAND_PON</t>
        </is>
      </c>
      <c r="D59" s="5" t="n">
        <v>100</v>
      </c>
      <c r="E59" s="14" t="inlineStr">
        <is>
          <t>revoked by Christian Bartosch</t>
        </is>
      </c>
      <c r="F59" s="7" t="inlineStr">
        <is>
          <t>Reject</t>
        </is>
      </c>
      <c r="G59" s="8" t="inlineStr">
        <is>
          <t>No NZD exchange rate exists, so approving it would make every New Zealand estimate refuse. The figure also cannot be traced in its research.</t>
        </is>
      </c>
      <c r="H59" s="9">
        <f>J59*0.75</f>
        <v/>
      </c>
      <c r="I59" s="9">
        <f>J59*1.25</f>
        <v/>
      </c>
      <c r="J59" s="10" t="n">
        <v>38</v>
      </c>
      <c r="K59" s="5" t="inlineStr">
        <is>
          <t>NZD</t>
        </is>
      </c>
      <c r="L59" s="10" t="n"/>
      <c r="M59" s="10" t="n">
        <v>75</v>
      </c>
      <c r="N59" s="11">
        <f>IF(OR(L59="",M59=""),"",L59/M59)</f>
        <v/>
      </c>
      <c r="O59" s="5" t="inlineStr">
        <is>
          <t>SEED</t>
        </is>
      </c>
      <c r="P59" s="3" t="inlineStr">
        <is>
          <t>single source; untraceable; no exchange rate</t>
        </is>
      </c>
      <c r="Q59" s="3" t="inlineStr"/>
      <c r="R59" s="5" t="inlineStr">
        <is>
          <t>run narrative (the disposition was replaced)</t>
        </is>
      </c>
      <c r="S59" s="3" t="inlineStr"/>
      <c r="T59" s="5" t="inlineStr"/>
      <c r="U59" s="5" t="inlineStr">
        <is>
          <t>2025</t>
        </is>
      </c>
      <c r="V59" s="5" t="inlineStr">
        <is>
          <t>woolworths</t>
        </is>
      </c>
      <c r="W59" s="12" t="n">
        <v>0</v>
      </c>
      <c r="X59" s="5" t="n">
        <v>0</v>
      </c>
      <c r="Y59" s="3" t="inlineStr"/>
      <c r="Z59" s="3" t="inlineStr">
        <is>
          <t>no</t>
        </is>
      </c>
      <c r="AA59" s="3" t="inlineStr"/>
      <c r="AB59" s="7" t="n"/>
    </row>
    <row r="60">
      <c r="A60" s="5" t="inlineStr">
        <is>
          <t>US-ETHERNET-100000-researched</t>
        </is>
      </c>
      <c r="B60" s="5" t="inlineStr">
        <is>
          <t>US</t>
        </is>
      </c>
      <c r="C60" s="5" t="inlineStr">
        <is>
          <t>ETHERNET</t>
        </is>
      </c>
      <c r="D60" s="5" t="n">
        <v>100000</v>
      </c>
      <c r="E60" s="14" t="inlineStr">
        <is>
          <t>revoked by Christian Bartosch</t>
        </is>
      </c>
      <c r="F60" s="7" t="inlineStr">
        <is>
          <t>Reject</t>
        </is>
      </c>
      <c r="G60" s="8" t="inlineStr">
        <is>
          <t>A 100 Gbps wavelength between two points, not site access. At $2,050 it would undercut every Ethernet tier, so any circuit whose cheapest tier costs more would price as a 100 Gbps wave.</t>
        </is>
      </c>
      <c r="H60" s="9">
        <f>J60*0.75</f>
        <v/>
      </c>
      <c r="I60" s="9">
        <f>J60*1.25</f>
        <v/>
      </c>
      <c r="J60" s="10" t="n">
        <v>2050</v>
      </c>
      <c r="K60" s="5" t="inlineStr">
        <is>
          <t>USD</t>
        </is>
      </c>
      <c r="L60" s="10" t="n">
        <v>2050</v>
      </c>
      <c r="M60" s="10" t="n"/>
      <c r="N60" s="11">
        <f>IF(OR(L60="",M60=""),"",L60/M60)</f>
        <v/>
      </c>
      <c r="O60" s="5" t="inlineStr">
        <is>
          <t>none - new tier</t>
        </is>
      </c>
      <c r="P60" s="3" t="inlineStr">
        <is>
          <t>single source; read from a snippet; re-prices lower tiers</t>
        </is>
      </c>
      <c r="Q60" s="3" t="inlineStr">
        <is>
          <t>ETHERNET 100 Gbps Wave MRC (US point-to-point)</t>
        </is>
      </c>
      <c r="R60" s="5" t="inlineStr">
        <is>
          <t>Lightyear Ethernet Private Line Pricing 2026; AGGREGATOR/SNIPPET_ONLY</t>
        </is>
      </c>
      <c r="S60" s="3" t="inlineStr">
        <is>
          <t>With a median price of $2,050 per month, a 100 Gbps Wave comes in roughly in line with 10 Gbps DIA pricing</t>
        </is>
      </c>
      <c r="T60" s="5" t="inlineStr">
        <is>
          <t>https://lightyear.ai/blogs/ethernet-private-line-cost</t>
        </is>
      </c>
      <c r="U60" s="5" t="inlineStr">
        <is>
          <t>2026</t>
        </is>
      </c>
      <c r="V60" s="5" t="inlineStr">
        <is>
          <t>mcdonalds</t>
        </is>
      </c>
      <c r="W60" s="12" t="n">
        <v>0</v>
      </c>
      <c r="X60" s="5" t="n">
        <v>0</v>
      </c>
      <c r="Y60" s="3" t="inlineStr"/>
      <c r="Z60" s="3" t="inlineStr">
        <is>
          <t>9000 Mbps at 3267 &gt; 10000 Mbps at 1807 USD</t>
        </is>
      </c>
      <c r="AA60" s="3" t="inlineStr">
        <is>
          <t>mcdonalds 2050 USD</t>
        </is>
      </c>
      <c r="AB60" s="7" t="n"/>
    </row>
  </sheetData>
  <autoFilter ref="A1:AB60"/>
  <dataValidations count="1">
    <dataValidation sqref="F2 F3 F4 F5 F6 F7 F8 F9 F10 F11 F12 F13 F14 F15 F16 F17 F18 F19 F20 F21 F22 F23 F24 F25 F26 F27 F28 F29 F30 F31 F32 F33 F34 F35 F36 F37 F38 F39 F40 F41 F42 F43 F44 F45 F46 F47 F48 F49 F50 F51 F52 F53 F54 F55 F56 F57 F58 F59 F60" showDropDown="0" showInputMessage="0" showErrorMessage="0" allowBlank="1" type="list">
      <formula1>"Approve,Reject,Hold"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30" customWidth="1" min="3" max="3"/>
    <col width="30" customWidth="1" min="4" max="4"/>
    <col width="16" customWidth="1" min="5" max="5"/>
    <col width="18" customWidth="1" min="6" max="6"/>
  </cols>
  <sheetData>
    <row r="1">
      <c r="A1" s="4" t="inlineStr">
        <is>
          <t>Country</t>
        </is>
      </c>
      <c r="B1" s="4" t="inlineStr">
        <is>
          <t>Product</t>
        </is>
      </c>
      <c r="C1" s="4" t="inlineStr">
        <is>
          <t>Approved</t>
        </is>
      </c>
      <c r="D1" s="4" t="inlineStr">
        <is>
          <t>Undecided</t>
        </is>
      </c>
      <c r="E1" s="4" t="inlineStr">
        <is>
          <t>Effect of the approvals, EUR/yr</t>
        </is>
      </c>
      <c r="F1" s="4" t="inlineStr">
        <is>
          <t>Effect of approving the undecided, EUR/yr</t>
        </is>
      </c>
    </row>
    <row r="2">
      <c r="A2" s="15" t="inlineStr">
        <is>
          <t>AU</t>
        </is>
      </c>
      <c r="B2" s="15" t="inlineStr">
        <is>
          <t>BROADBAND_HFC</t>
        </is>
      </c>
      <c r="C2" s="15" t="inlineStr">
        <is>
          <t>250, 2000</t>
        </is>
      </c>
      <c r="D2" s="15" t="inlineStr">
        <is>
          <t>-</t>
        </is>
      </c>
      <c r="E2" s="16" t="n">
        <v>-1000837.396216216</v>
      </c>
      <c r="F2" s="16" t="n">
        <v>0</v>
      </c>
    </row>
    <row r="3">
      <c r="A3" s="15" t="inlineStr">
        <is>
          <t>AU</t>
        </is>
      </c>
      <c r="B3" s="15" t="inlineStr">
        <is>
          <t>BROADBAND_PON</t>
        </is>
      </c>
      <c r="C3" s="15" t="inlineStr">
        <is>
          <t>250</t>
        </is>
      </c>
      <c r="D3" s="15" t="inlineStr">
        <is>
          <t>-</t>
        </is>
      </c>
      <c r="E3" s="16" t="n">
        <v>0</v>
      </c>
      <c r="F3" s="16" t="n">
        <v>0</v>
      </c>
    </row>
    <row r="4">
      <c r="A4" s="15" t="inlineStr">
        <is>
          <t>AU</t>
        </is>
      </c>
      <c r="B4" s="15" t="inlineStr">
        <is>
          <t>DIA</t>
        </is>
      </c>
      <c r="C4" s="15" t="inlineStr">
        <is>
          <t>250</t>
        </is>
      </c>
      <c r="D4" s="15" t="inlineStr">
        <is>
          <t>-</t>
        </is>
      </c>
      <c r="E4" s="16" t="n">
        <v>-21538.53608108108</v>
      </c>
      <c r="F4" s="16" t="n">
        <v>0</v>
      </c>
    </row>
    <row r="5">
      <c r="A5" s="15" t="inlineStr">
        <is>
          <t>AU</t>
        </is>
      </c>
      <c r="B5" s="15" t="inlineStr">
        <is>
          <t>ETHERNET</t>
        </is>
      </c>
      <c r="C5" s="15" t="inlineStr">
        <is>
          <t>250, 500, 1000</t>
        </is>
      </c>
      <c r="D5" s="15" t="inlineStr">
        <is>
          <t>-</t>
        </is>
      </c>
      <c r="E5" s="16" t="n">
        <v>-412766.4661391351</v>
      </c>
      <c r="F5" s="16" t="n">
        <v>0</v>
      </c>
    </row>
    <row r="6">
      <c r="A6" s="15" t="inlineStr">
        <is>
          <t>BE</t>
        </is>
      </c>
      <c r="B6" s="15" t="inlineStr">
        <is>
          <t>BROADBAND_PON</t>
        </is>
      </c>
      <c r="C6" s="15" t="inlineStr">
        <is>
          <t>150</t>
        </is>
      </c>
      <c r="D6" s="15" t="inlineStr">
        <is>
          <t>2500</t>
        </is>
      </c>
      <c r="E6" s="16" t="n">
        <v>0</v>
      </c>
      <c r="F6" s="16" t="n">
        <v>0</v>
      </c>
    </row>
    <row r="7">
      <c r="A7" s="15" t="inlineStr">
        <is>
          <t>DE</t>
        </is>
      </c>
      <c r="B7" s="15" t="inlineStr">
        <is>
          <t>BROADBAND_PON</t>
        </is>
      </c>
      <c r="C7" s="15" t="inlineStr">
        <is>
          <t>-</t>
        </is>
      </c>
      <c r="D7" s="15" t="inlineStr">
        <is>
          <t>-</t>
        </is>
      </c>
      <c r="E7" s="16" t="n">
        <v>0</v>
      </c>
      <c r="F7" s="16" t="n">
        <v>0</v>
      </c>
    </row>
    <row r="8">
      <c r="A8" s="15" t="inlineStr">
        <is>
          <t>ES</t>
        </is>
      </c>
      <c r="B8" s="15" t="inlineStr">
        <is>
          <t>DIA</t>
        </is>
      </c>
      <c r="C8" s="15" t="inlineStr">
        <is>
          <t>-</t>
        </is>
      </c>
      <c r="D8" s="15" t="inlineStr">
        <is>
          <t>100</t>
        </is>
      </c>
      <c r="E8" s="16" t="n">
        <v>0</v>
      </c>
      <c r="F8" s="16" t="n">
        <v>-2357511.18</v>
      </c>
    </row>
    <row r="9">
      <c r="A9" s="15" t="inlineStr">
        <is>
          <t>FR</t>
        </is>
      </c>
      <c r="B9" s="15" t="inlineStr">
        <is>
          <t>BROADBAND_PON</t>
        </is>
      </c>
      <c r="C9" s="15" t="inlineStr">
        <is>
          <t>-</t>
        </is>
      </c>
      <c r="D9" s="15" t="inlineStr">
        <is>
          <t>-</t>
        </is>
      </c>
      <c r="E9" s="16" t="n">
        <v>0</v>
      </c>
      <c r="F9" s="16" t="n">
        <v>0</v>
      </c>
    </row>
    <row r="10">
      <c r="A10" s="15" t="inlineStr">
        <is>
          <t>FR</t>
        </is>
      </c>
      <c r="B10" s="15" t="inlineStr">
        <is>
          <t>DIA</t>
        </is>
      </c>
      <c r="C10" s="15" t="inlineStr">
        <is>
          <t>1000</t>
        </is>
      </c>
      <c r="D10" s="15" t="inlineStr">
        <is>
          <t>-</t>
        </is>
      </c>
      <c r="E10" s="16" t="n">
        <v>-92071.34274275</v>
      </c>
      <c r="F10" s="16" t="n">
        <v>0</v>
      </c>
    </row>
    <row r="11">
      <c r="A11" s="15" t="inlineStr">
        <is>
          <t>GB</t>
        </is>
      </c>
      <c r="B11" s="15" t="inlineStr">
        <is>
          <t>BROADBAND_HFC</t>
        </is>
      </c>
      <c r="C11" s="15" t="inlineStr">
        <is>
          <t>200, 400, 600, 1000, 2000</t>
        </is>
      </c>
      <c r="D11" s="15" t="inlineStr">
        <is>
          <t>-</t>
        </is>
      </c>
      <c r="E11" s="16" t="n">
        <v>-5791578.692217927</v>
      </c>
      <c r="F11" s="16" t="n">
        <v>0</v>
      </c>
    </row>
    <row r="12">
      <c r="A12" s="15" t="inlineStr">
        <is>
          <t>GB</t>
        </is>
      </c>
      <c r="B12" s="15" t="inlineStr">
        <is>
          <t>BROADBAND_PON</t>
        </is>
      </c>
      <c r="C12" s="15" t="inlineStr">
        <is>
          <t>100</t>
        </is>
      </c>
      <c r="D12" s="15" t="inlineStr">
        <is>
          <t>-</t>
        </is>
      </c>
      <c r="E12" s="16" t="n">
        <v>-742283.2166248914</v>
      </c>
      <c r="F12" s="16" t="n">
        <v>0</v>
      </c>
    </row>
    <row r="13">
      <c r="A13" s="15" t="inlineStr">
        <is>
          <t>GB</t>
        </is>
      </c>
      <c r="B13" s="15" t="inlineStr">
        <is>
          <t>DIA</t>
        </is>
      </c>
      <c r="C13" s="15" t="inlineStr">
        <is>
          <t>-</t>
        </is>
      </c>
      <c r="D13" s="15" t="inlineStr">
        <is>
          <t>-</t>
        </is>
      </c>
      <c r="E13" s="16" t="n">
        <v>0</v>
      </c>
      <c r="F13" s="16" t="n">
        <v>0</v>
      </c>
    </row>
    <row r="14">
      <c r="A14" s="15" t="inlineStr">
        <is>
          <t>GB</t>
        </is>
      </c>
      <c r="B14" s="15" t="inlineStr">
        <is>
          <t>ETHERNET</t>
        </is>
      </c>
      <c r="C14" s="15" t="inlineStr">
        <is>
          <t>-</t>
        </is>
      </c>
      <c r="D14" s="15" t="inlineStr">
        <is>
          <t>-</t>
        </is>
      </c>
      <c r="E14" s="16" t="n">
        <v>0</v>
      </c>
      <c r="F14" s="16" t="n">
        <v>0</v>
      </c>
    </row>
    <row r="15">
      <c r="A15" s="15" t="inlineStr">
        <is>
          <t>GB</t>
        </is>
      </c>
      <c r="B15" s="15" t="inlineStr">
        <is>
          <t>MPLS</t>
        </is>
      </c>
      <c r="C15" s="15" t="inlineStr">
        <is>
          <t>-</t>
        </is>
      </c>
      <c r="D15" s="15" t="inlineStr">
        <is>
          <t>-</t>
        </is>
      </c>
      <c r="E15" s="16" t="n">
        <v>0</v>
      </c>
      <c r="F15" s="16" t="n">
        <v>0</v>
      </c>
    </row>
    <row r="16">
      <c r="A16" s="15" t="inlineStr">
        <is>
          <t>IE</t>
        </is>
      </c>
      <c r="B16" s="15" t="inlineStr">
        <is>
          <t>BROADBAND_PON</t>
        </is>
      </c>
      <c r="C16" s="15" t="inlineStr">
        <is>
          <t>-</t>
        </is>
      </c>
      <c r="D16" s="15" t="inlineStr">
        <is>
          <t>-</t>
        </is>
      </c>
      <c r="E16" s="16" t="n">
        <v>0</v>
      </c>
      <c r="F16" s="16" t="n">
        <v>0</v>
      </c>
    </row>
    <row r="17">
      <c r="A17" s="15" t="inlineStr">
        <is>
          <t>IT</t>
        </is>
      </c>
      <c r="B17" s="15" t="inlineStr">
        <is>
          <t>ETHERNET</t>
        </is>
      </c>
      <c r="C17" s="15" t="inlineStr">
        <is>
          <t>-</t>
        </is>
      </c>
      <c r="D17" s="15" t="inlineStr">
        <is>
          <t>-</t>
        </is>
      </c>
      <c r="E17" s="16" t="n">
        <v>0</v>
      </c>
      <c r="F17" s="16" t="n">
        <v>0</v>
      </c>
    </row>
    <row r="18">
      <c r="A18" s="15" t="inlineStr">
        <is>
          <t>NL</t>
        </is>
      </c>
      <c r="B18" s="15" t="inlineStr">
        <is>
          <t>BROADBAND_PON</t>
        </is>
      </c>
      <c r="C18" s="15" t="inlineStr">
        <is>
          <t>-</t>
        </is>
      </c>
      <c r="D18" s="15" t="inlineStr">
        <is>
          <t>-</t>
        </is>
      </c>
      <c r="E18" s="16" t="n">
        <v>0</v>
      </c>
      <c r="F18" s="16" t="n">
        <v>0</v>
      </c>
    </row>
    <row r="19">
      <c r="A19" s="15" t="inlineStr">
        <is>
          <t>NL</t>
        </is>
      </c>
      <c r="B19" s="15" t="inlineStr">
        <is>
          <t>DIA</t>
        </is>
      </c>
      <c r="C19" s="15" t="inlineStr">
        <is>
          <t>200</t>
        </is>
      </c>
      <c r="D19" s="15" t="inlineStr">
        <is>
          <t>-</t>
        </is>
      </c>
      <c r="E19" s="16" t="n">
        <v>0</v>
      </c>
      <c r="F19" s="16" t="n">
        <v>0</v>
      </c>
    </row>
    <row r="20">
      <c r="A20" s="15" t="inlineStr">
        <is>
          <t>NZ</t>
        </is>
      </c>
      <c r="B20" s="15" t="inlineStr">
        <is>
          <t>BROADBAND_PON</t>
        </is>
      </c>
      <c r="C20" s="15" t="inlineStr">
        <is>
          <t>-</t>
        </is>
      </c>
      <c r="D20" s="15" t="inlineStr">
        <is>
          <t>-</t>
        </is>
      </c>
      <c r="E20" s="16" t="n">
        <v>0</v>
      </c>
      <c r="F20" s="16" t="n">
        <v>0</v>
      </c>
    </row>
    <row r="21">
      <c r="A21" s="15" t="inlineStr">
        <is>
          <t>SG</t>
        </is>
      </c>
      <c r="B21" s="15" t="inlineStr">
        <is>
          <t>BROADBAND_PON</t>
        </is>
      </c>
      <c r="C21" s="15" t="inlineStr">
        <is>
          <t>500, 1000</t>
        </is>
      </c>
      <c r="D21" s="15" t="inlineStr">
        <is>
          <t>-</t>
        </is>
      </c>
      <c r="E21" s="16" t="n">
        <v>-2520.08141125</v>
      </c>
      <c r="F21" s="16" t="n">
        <v>0</v>
      </c>
    </row>
    <row r="22">
      <c r="A22" s="15" t="inlineStr">
        <is>
          <t>SG</t>
        </is>
      </c>
      <c r="B22" s="15" t="inlineStr">
        <is>
          <t>DIA</t>
        </is>
      </c>
      <c r="C22" s="15" t="inlineStr">
        <is>
          <t>10000</t>
        </is>
      </c>
      <c r="D22" s="15" t="inlineStr">
        <is>
          <t>100</t>
        </is>
      </c>
      <c r="E22" s="16" t="n">
        <v>0</v>
      </c>
      <c r="F22" s="16" t="n">
        <v>0</v>
      </c>
    </row>
    <row r="23">
      <c r="A23" s="15" t="inlineStr">
        <is>
          <t>US</t>
        </is>
      </c>
      <c r="B23" s="15" t="inlineStr">
        <is>
          <t>BROADBAND_HFC</t>
        </is>
      </c>
      <c r="C23" s="15" t="inlineStr">
        <is>
          <t>100, 500, 1000</t>
        </is>
      </c>
      <c r="D23" s="15" t="inlineStr">
        <is>
          <t>-</t>
        </is>
      </c>
      <c r="E23" s="16" t="n">
        <v>-17494488.892576</v>
      </c>
      <c r="F23" s="16" t="n">
        <v>0</v>
      </c>
    </row>
    <row r="24">
      <c r="A24" s="15" t="inlineStr">
        <is>
          <t>US</t>
        </is>
      </c>
      <c r="B24" s="15" t="inlineStr">
        <is>
          <t>BROADBAND_PON</t>
        </is>
      </c>
      <c r="C24" s="15" t="inlineStr">
        <is>
          <t>100, 500</t>
        </is>
      </c>
      <c r="D24" s="15" t="inlineStr">
        <is>
          <t>300</t>
        </is>
      </c>
      <c r="E24" s="16" t="n">
        <v>213636.4444155</v>
      </c>
      <c r="F24" s="16" t="n">
        <v>-39654.109668</v>
      </c>
    </row>
    <row r="25">
      <c r="A25" s="15" t="inlineStr">
        <is>
          <t>US</t>
        </is>
      </c>
      <c r="B25" s="15" t="inlineStr">
        <is>
          <t>DIA</t>
        </is>
      </c>
      <c r="C25" s="15" t="inlineStr">
        <is>
          <t>100, 1000, 10000</t>
        </is>
      </c>
      <c r="D25" s="15" t="inlineStr">
        <is>
          <t>-</t>
        </is>
      </c>
      <c r="E25" s="16" t="n">
        <v>-532114.9174</v>
      </c>
      <c r="F25" s="16" t="n">
        <v>0</v>
      </c>
    </row>
    <row r="26">
      <c r="A26" s="15" t="inlineStr">
        <is>
          <t>US</t>
        </is>
      </c>
      <c r="B26" s="15" t="inlineStr">
        <is>
          <t>ETHERNET</t>
        </is>
      </c>
      <c r="C26" s="15" t="inlineStr">
        <is>
          <t>10000</t>
        </is>
      </c>
      <c r="D26" s="15" t="inlineStr">
        <is>
          <t>-</t>
        </is>
      </c>
      <c r="E26" s="16" t="n">
        <v>-340047.438102</v>
      </c>
      <c r="F26" s="16" t="n">
        <v>0</v>
      </c>
    </row>
    <row r="27">
      <c r="A27" s="15" t="inlineStr">
        <is>
          <t>US</t>
        </is>
      </c>
      <c r="B27" s="15" t="inlineStr">
        <is>
          <t>MPLS</t>
        </is>
      </c>
      <c r="C27" s="15" t="inlineStr">
        <is>
          <t>1000</t>
        </is>
      </c>
      <c r="D27" s="15" t="inlineStr">
        <is>
          <t>-</t>
        </is>
      </c>
      <c r="E27" s="16" t="n">
        <v>0</v>
      </c>
      <c r="F27" s="16" t="n">
        <v>0</v>
      </c>
    </row>
    <row r="28">
      <c r="A28" s="15" t="inlineStr">
        <is>
          <t>ZA</t>
        </is>
      </c>
      <c r="B28" s="15" t="inlineStr">
        <is>
          <t>DIA</t>
        </is>
      </c>
      <c r="C28" s="15" t="inlineStr">
        <is>
          <t>-</t>
        </is>
      </c>
      <c r="D28" s="15" t="inlineStr">
        <is>
          <t>100</t>
        </is>
      </c>
      <c r="E28" s="16" t="n">
        <v>0</v>
      </c>
      <c r="F28" s="16" t="n">
        <v>-16474.2432</v>
      </c>
    </row>
    <row r="29">
      <c r="A29" s="17" t="inlineStr">
        <is>
          <t>Total</t>
        </is>
      </c>
      <c r="E29" s="18">
        <f>SUM(E2:E28)</f>
        <v/>
      </c>
      <c r="F29" s="18">
        <f>SUM(F2:F28)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8" customWidth="1" min="3" max="3"/>
    <col width="10" customWidth="1" min="4" max="4"/>
    <col width="20" customWidth="1" min="5" max="5"/>
  </cols>
  <sheetData>
    <row r="1">
      <c r="A1" s="4" t="inlineStr">
        <is>
          <t>Company</t>
        </is>
      </c>
      <c r="B1" s="4" t="inlineStr">
        <is>
          <t>Baseline, EUR/yr</t>
        </is>
      </c>
      <c r="C1" s="4" t="inlineStr">
        <is>
          <t>Effect of the approvals, EUR/yr</t>
        </is>
      </c>
      <c r="D1" s="4" t="inlineStr">
        <is>
          <t>Share of baseline</t>
        </is>
      </c>
      <c r="E1" s="4" t="inlineStr">
        <is>
          <t>Effect of approving the undecided, EUR/yr</t>
        </is>
      </c>
    </row>
    <row r="2">
      <c r="A2" s="15" t="inlineStr">
        <is>
          <t>mcdonalds</t>
        </is>
      </c>
      <c r="B2" s="16" t="n">
        <v>64373238.5</v>
      </c>
      <c r="C2" s="16" t="n">
        <v>-16128633.003194</v>
      </c>
      <c r="D2" s="19">
        <f>IF(B2=0,"",C2/B2)</f>
        <v/>
      </c>
      <c r="E2" s="16" t="n">
        <v>0</v>
      </c>
    </row>
    <row r="3">
      <c r="A3" s="15" t="inlineStr">
        <is>
          <t>tesco</t>
        </is>
      </c>
      <c r="B3" s="16" t="n">
        <v>16220935.07</v>
      </c>
      <c r="C3" s="16" t="n">
        <v>-2729944.141842423</v>
      </c>
      <c r="D3" s="19">
        <f>IF(B3=0,"",C3/B3)</f>
        <v/>
      </c>
      <c r="E3" s="16" t="n">
        <v>0</v>
      </c>
    </row>
    <row r="4">
      <c r="A4" s="15" t="inlineStr">
        <is>
          <t>boots</t>
        </is>
      </c>
      <c r="B4" s="16" t="n">
        <v>7876212.85</v>
      </c>
      <c r="C4" s="16" t="n">
        <v>-1535238.860845505</v>
      </c>
      <c r="D4" s="19">
        <f>IF(B4=0,"",C4/B4)</f>
        <v/>
      </c>
      <c r="E4" s="16" t="n">
        <v>0</v>
      </c>
    </row>
    <row r="5">
      <c r="A5" s="15" t="inlineStr">
        <is>
          <t>woolworths</t>
        </is>
      </c>
      <c r="B5" s="16" t="n">
        <v>5362494.88</v>
      </c>
      <c r="C5" s="16" t="n">
        <v>-1109363.289657432</v>
      </c>
      <c r="D5" s="19">
        <f>IF(B5=0,"",C5/B5)</f>
        <v/>
      </c>
      <c r="E5" s="16" t="n">
        <v>0</v>
      </c>
    </row>
    <row r="6">
      <c r="A6" s="15" t="inlineStr">
        <is>
          <t>ahold-delhaize</t>
        </is>
      </c>
      <c r="B6" s="16" t="n">
        <v>24793273.77</v>
      </c>
      <c r="C6" s="16" t="n">
        <v>-1101872.46</v>
      </c>
      <c r="D6" s="19">
        <f>IF(B6=0,"",C6/B6)</f>
        <v/>
      </c>
      <c r="E6" s="16" t="n">
        <v>0</v>
      </c>
    </row>
    <row r="7">
      <c r="A7" s="15" t="inlineStr">
        <is>
          <t>ups</t>
        </is>
      </c>
      <c r="B7" s="16" t="n">
        <v>21800367.18</v>
      </c>
      <c r="C7" s="16" t="n">
        <v>-865096.7969280001</v>
      </c>
      <c r="D7" s="19">
        <f>IF(B7=0,"",C7/B7)</f>
        <v/>
      </c>
      <c r="E7" s="16" t="n">
        <v>0</v>
      </c>
    </row>
    <row r="8">
      <c r="A8" s="15" t="inlineStr">
        <is>
          <t>victorias-secret</t>
        </is>
      </c>
      <c r="B8" s="16" t="n">
        <v>3771034.76</v>
      </c>
      <c r="C8" s="16" t="n">
        <v>-852215.94576</v>
      </c>
      <c r="D8" s="19">
        <f>IF(B8=0,"",C8/B8)</f>
        <v/>
      </c>
      <c r="E8" s="16" t="n">
        <v>0</v>
      </c>
    </row>
    <row r="9">
      <c r="A9" s="15" t="inlineStr">
        <is>
          <t>simmons-bank</t>
        </is>
      </c>
      <c r="B9" s="16" t="n">
        <v>3935375.68</v>
      </c>
      <c r="C9" s="16" t="n">
        <v>-558458.55138</v>
      </c>
      <c r="D9" s="19">
        <f>IF(B9=0,"",C9/B9)</f>
        <v/>
      </c>
      <c r="E9" s="16" t="n">
        <v>-39654.109668</v>
      </c>
    </row>
    <row r="10">
      <c r="A10" s="15" t="inlineStr">
        <is>
          <t>siemens</t>
        </is>
      </c>
      <c r="B10" s="16" t="n">
        <v>13080006.78</v>
      </c>
      <c r="C10" s="16" t="n">
        <v>-352654.44</v>
      </c>
      <c r="D10" s="19">
        <f>IF(B10=0,"",C10/B10)</f>
        <v/>
      </c>
      <c r="E10" s="16" t="n">
        <v>0</v>
      </c>
    </row>
    <row r="11">
      <c r="A11" s="15" t="inlineStr">
        <is>
          <t>rio-tinto</t>
        </is>
      </c>
      <c r="B11" s="16" t="n">
        <v>1280285.63</v>
      </c>
      <c r="C11" s="16" t="n">
        <v>-325779.108779</v>
      </c>
      <c r="D11" s="19">
        <f>IF(B11=0,"",C11/B11)</f>
        <v/>
      </c>
      <c r="E11" s="16" t="n">
        <v>0</v>
      </c>
    </row>
    <row r="12">
      <c r="A12" s="15" t="inlineStr">
        <is>
          <t>iberdrola</t>
        </is>
      </c>
      <c r="B12" s="16" t="n">
        <v>11199077.66</v>
      </c>
      <c r="C12" s="16" t="n">
        <v>-243421.43</v>
      </c>
      <c r="D12" s="19">
        <f>IF(B12=0,"",C12/B12)</f>
        <v/>
      </c>
      <c r="E12" s="16" t="n">
        <v>0</v>
      </c>
    </row>
    <row r="13">
      <c r="A13" s="15" t="inlineStr">
        <is>
          <t>network-rail</t>
        </is>
      </c>
      <c r="B13" s="16" t="n">
        <v>4737934.18</v>
      </c>
      <c r="C13" s="16" t="n">
        <v>-216374.5984898834</v>
      </c>
      <c r="D13" s="19">
        <f>IF(B13=0,"",C13/B13)</f>
        <v/>
      </c>
      <c r="E13" s="16" t="n">
        <v>0</v>
      </c>
    </row>
    <row r="14">
      <c r="A14" s="15" t="inlineStr">
        <is>
          <t>novartis</t>
        </is>
      </c>
      <c r="B14" s="16" t="n">
        <v>4238396.19</v>
      </c>
      <c r="C14" s="16" t="n">
        <v>-165251.99283375</v>
      </c>
      <c r="D14" s="19">
        <f>IF(B14=0,"",C14/B14)</f>
        <v/>
      </c>
      <c r="E14" s="16" t="n">
        <v>0</v>
      </c>
    </row>
    <row r="15">
      <c r="A15" s="15" t="inlineStr">
        <is>
          <t>nhs-england</t>
        </is>
      </c>
      <c r="B15" s="16" t="n">
        <v>16785765.72</v>
      </c>
      <c r="C15" s="16" t="n">
        <v>-161314.9972477556</v>
      </c>
      <c r="D15" s="19">
        <f>IF(B15=0,"",C15/B15)</f>
        <v/>
      </c>
      <c r="E15" s="16" t="n">
        <v>0</v>
      </c>
    </row>
    <row r="16">
      <c r="A16" s="15" t="inlineStr">
        <is>
          <t>basf</t>
        </is>
      </c>
      <c r="B16" s="16" t="n">
        <v>5574436.15</v>
      </c>
      <c r="C16" s="16" t="n">
        <v>-88014.36</v>
      </c>
      <c r="D16" s="19">
        <f>IF(B16=0,"",C16/B16)</f>
        <v/>
      </c>
      <c r="E16" s="16" t="n">
        <v>0</v>
      </c>
    </row>
    <row r="17">
      <c r="A17" s="15" t="inlineStr">
        <is>
          <t>nestle</t>
        </is>
      </c>
      <c r="B17" s="16" t="n">
        <v>11364991.71</v>
      </c>
      <c r="C17" s="16" t="n">
        <v>-85349.23468125</v>
      </c>
      <c r="D17" s="19">
        <f>IF(B17=0,"",C17/B17)</f>
        <v/>
      </c>
      <c r="E17" s="16" t="n">
        <v>0</v>
      </c>
    </row>
    <row r="18">
      <c r="A18" s="15" t="inlineStr">
        <is>
          <t>unilever</t>
        </is>
      </c>
      <c r="B18" s="16" t="n">
        <v>4613487.33</v>
      </c>
      <c r="C18" s="16" t="n">
        <v>-67713.11</v>
      </c>
      <c r="D18" s="19">
        <f>IF(B18=0,"",C18/B18)</f>
        <v/>
      </c>
      <c r="E18" s="16" t="n">
        <v>0</v>
      </c>
    </row>
    <row r="19">
      <c r="A19" s="15" t="inlineStr">
        <is>
          <t>santander</t>
        </is>
      </c>
      <c r="B19" s="16" t="n">
        <v>16747519.43</v>
      </c>
      <c r="C19" s="16" t="n">
        <v>-57957.48</v>
      </c>
      <c r="D19" s="19">
        <f>IF(B19=0,"",C19/B19)</f>
        <v/>
      </c>
      <c r="E19" s="16" t="n">
        <v>-1760707.09</v>
      </c>
    </row>
    <row r="20">
      <c r="A20" s="15" t="inlineStr">
        <is>
          <t>volkswagen</t>
        </is>
      </c>
      <c r="B20" s="16" t="n">
        <v>6083183.49</v>
      </c>
      <c r="C20" s="16" t="n">
        <v>-48420.69</v>
      </c>
      <c r="D20" s="19">
        <f>IF(B20=0,"",C20/B20)</f>
        <v/>
      </c>
      <c r="E20" s="16" t="n">
        <v>0</v>
      </c>
    </row>
    <row r="21">
      <c r="A21" s="15" t="inlineStr">
        <is>
          <t>unfi</t>
        </is>
      </c>
      <c r="B21" s="16" t="n">
        <v>1885106.05</v>
      </c>
      <c r="C21" s="16" t="n">
        <v>-38354.045184</v>
      </c>
      <c r="D21" s="19">
        <f>IF(B21=0,"",C21/B21)</f>
        <v/>
      </c>
      <c r="E21" s="16" t="n">
        <v>0</v>
      </c>
    </row>
    <row r="22">
      <c r="A22" s="15" t="inlineStr">
        <is>
          <t>maersk</t>
        </is>
      </c>
      <c r="B22" s="16" t="n">
        <v>4113349.82</v>
      </c>
      <c r="C22" s="16" t="n">
        <v>-37288.65504</v>
      </c>
      <c r="D22" s="19">
        <f>IF(B22=0,"",C22/B22)</f>
        <v/>
      </c>
      <c r="E22" s="16" t="n">
        <v>0</v>
      </c>
    </row>
    <row r="23">
      <c r="A23" s="15" t="inlineStr">
        <is>
          <t>bayer</t>
        </is>
      </c>
      <c r="B23" s="16" t="n">
        <v>2972431.89</v>
      </c>
      <c r="C23" s="16" t="n">
        <v>-34035.61</v>
      </c>
      <c r="D23" s="19">
        <f>IF(B23=0,"",C23/B23)</f>
        <v/>
      </c>
      <c r="E23" s="16" t="n">
        <v>0</v>
      </c>
    </row>
    <row r="24">
      <c r="A24" s="15" t="inlineStr">
        <is>
          <t>shell</t>
        </is>
      </c>
      <c r="B24" s="16" t="n">
        <v>12212852.21</v>
      </c>
      <c r="C24" s="16" t="n">
        <v>-33693.120102</v>
      </c>
      <c r="D24" s="19">
        <f>IF(B24=0,"",C24/B24)</f>
        <v/>
      </c>
      <c r="E24" s="16" t="n">
        <v>0</v>
      </c>
    </row>
    <row r="25">
      <c r="A25" s="15" t="inlineStr">
        <is>
          <t>bnp-paribas</t>
        </is>
      </c>
      <c r="B25" s="16" t="n">
        <v>31024714.49</v>
      </c>
      <c r="C25" s="16" t="n">
        <v>-29777.28</v>
      </c>
      <c r="D25" s="19">
        <f>IF(B25=0,"",C25/B25)</f>
        <v/>
      </c>
      <c r="E25" s="16" t="n">
        <v>0</v>
      </c>
    </row>
    <row r="26">
      <c r="A26" s="15" t="inlineStr">
        <is>
          <t>toyota</t>
        </is>
      </c>
      <c r="B26" s="16" t="n">
        <v>3204432.17</v>
      </c>
      <c r="C26" s="16" t="n">
        <v>-17558.74610201351</v>
      </c>
      <c r="D26" s="19">
        <f>IF(B26=0,"",C26/B26)</f>
        <v/>
      </c>
      <c r="E26" s="16" t="n">
        <v>0</v>
      </c>
    </row>
    <row r="27">
      <c r="A27" s="15" t="inlineStr">
        <is>
          <t>royal-mail</t>
        </is>
      </c>
      <c r="B27" s="16" t="n">
        <v>6627214.03</v>
      </c>
      <c r="C27" s="16" t="n">
        <v>-16153.23812273885</v>
      </c>
      <c r="D27" s="19">
        <f>IF(B27=0,"",C27/B27)</f>
        <v/>
      </c>
      <c r="E27" s="16" t="n">
        <v>0</v>
      </c>
    </row>
    <row r="28">
      <c r="A28" s="15" t="inlineStr">
        <is>
          <t>michelin</t>
        </is>
      </c>
      <c r="B28" s="16" t="n">
        <v>2744730.28</v>
      </c>
      <c r="C28" s="16" t="n">
        <v>-11036.04</v>
      </c>
      <c r="D28" s="19">
        <f>IF(B28=0,"",C28/B28)</f>
        <v/>
      </c>
      <c r="E28" s="16" t="n">
        <v>0</v>
      </c>
    </row>
    <row r="29">
      <c r="A29" s="15" t="inlineStr">
        <is>
          <t>abb</t>
        </is>
      </c>
      <c r="B29" s="16" t="n">
        <v>1155482.62</v>
      </c>
      <c r="C29" s="16" t="n">
        <v>-8419.634472</v>
      </c>
      <c r="D29" s="19">
        <f>IF(B29=0,"",C29/B29)</f>
        <v/>
      </c>
      <c r="E29" s="16" t="n">
        <v>0</v>
      </c>
    </row>
    <row r="30">
      <c r="A30" s="15" t="inlineStr">
        <is>
          <t>accor</t>
        </is>
      </c>
      <c r="B30" s="16" t="n">
        <v>8068197.01</v>
      </c>
      <c r="C30" s="16" t="n">
        <v>-7444.32</v>
      </c>
      <c r="D30" s="19">
        <f>IF(B30=0,"",C30/B30)</f>
        <v/>
      </c>
      <c r="E30" s="16" t="n">
        <v>0</v>
      </c>
    </row>
    <row r="31">
      <c r="A31" s="15" t="inlineStr">
        <is>
          <t>henkel</t>
        </is>
      </c>
      <c r="B31" s="16" t="n">
        <v>693839.9300000001</v>
      </c>
      <c r="C31" s="16" t="n">
        <v>-7429.09</v>
      </c>
      <c r="D31" s="19">
        <f>IF(B31=0,"",C31/B31)</f>
        <v/>
      </c>
      <c r="E31" s="16" t="n">
        <v>0</v>
      </c>
    </row>
    <row r="32">
      <c r="A32" s="15" t="inlineStr">
        <is>
          <t>danone</t>
        </is>
      </c>
      <c r="B32" s="16" t="n">
        <v>3116170.32</v>
      </c>
      <c r="C32" s="16" t="n">
        <v>-7279.6</v>
      </c>
      <c r="D32" s="19">
        <f>IF(B32=0,"",C32/B32)</f>
        <v/>
      </c>
      <c r="E32" s="16" t="n">
        <v>0</v>
      </c>
    </row>
    <row r="33">
      <c r="A33" s="15" t="inlineStr">
        <is>
          <t>saint-gobain</t>
        </is>
      </c>
      <c r="B33" s="16" t="n">
        <v>20609089.21</v>
      </c>
      <c r="C33" s="16" t="n">
        <v>-5967.71</v>
      </c>
      <c r="D33" s="19">
        <f>IF(B33=0,"",C33/B33)</f>
        <v/>
      </c>
      <c r="E33" s="16" t="n">
        <v>0</v>
      </c>
    </row>
    <row r="34">
      <c r="A34" s="15" t="inlineStr">
        <is>
          <t>air-france-klm</t>
        </is>
      </c>
      <c r="B34" s="16" t="n">
        <v>1013692.06</v>
      </c>
      <c r="C34" s="16" t="n">
        <v>-2977.73</v>
      </c>
      <c r="D34" s="19">
        <f>IF(B34=0,"",C34/B34)</f>
        <v/>
      </c>
      <c r="E34" s="16" t="n">
        <v>0</v>
      </c>
    </row>
    <row r="35">
      <c r="A35" s="15" t="inlineStr">
        <is>
          <t>dbs</t>
        </is>
      </c>
      <c r="B35" s="16" t="n">
        <v>11878347.36</v>
      </c>
      <c r="C35" s="16" t="n">
        <v>-2199.09195</v>
      </c>
      <c r="D35" s="19">
        <f>IF(B35=0,"",C35/B35)</f>
        <v/>
      </c>
      <c r="E35" s="16" t="n">
        <v>0</v>
      </c>
    </row>
    <row r="36">
      <c r="A36" s="15" t="inlineStr">
        <is>
          <t>totalenergies</t>
        </is>
      </c>
      <c r="B36" s="16" t="n">
        <v>10952685.28</v>
      </c>
      <c r="C36" s="16" t="n">
        <v>-1369.752484</v>
      </c>
      <c r="D36" s="19">
        <f>IF(B36=0,"",C36/B36)</f>
        <v/>
      </c>
      <c r="E36" s="16" t="n">
        <v>0</v>
      </c>
    </row>
    <row r="37">
      <c r="A37" s="15" t="inlineStr">
        <is>
          <t>anglo-american</t>
        </is>
      </c>
      <c r="B37" s="16" t="n">
        <v>373299.77</v>
      </c>
      <c r="C37" s="16" t="n">
        <v>0</v>
      </c>
      <c r="D37" s="19">
        <f>IF(B37=0,"",C37/B37)</f>
        <v/>
      </c>
      <c r="E37" s="16" t="n">
        <v>-16474.2432</v>
      </c>
    </row>
    <row r="38">
      <c r="A38" s="15" t="inlineStr">
        <is>
          <t>carrefour</t>
        </is>
      </c>
      <c r="B38" s="16" t="n">
        <v>36971913.55</v>
      </c>
      <c r="C38" s="16" t="n">
        <v>0</v>
      </c>
      <c r="D38" s="19">
        <f>IF(B38=0,"",C38/B38)</f>
        <v/>
      </c>
      <c r="E38" s="16" t="n">
        <v>-16202.83</v>
      </c>
    </row>
    <row r="39">
      <c r="A39" s="15" t="inlineStr">
        <is>
          <t>heidelberg-materials</t>
        </is>
      </c>
      <c r="B39" s="16" t="n">
        <v>5859419.94</v>
      </c>
      <c r="C39" s="16" t="n">
        <v>3213.97</v>
      </c>
      <c r="D39" s="19">
        <f>IF(B39=0,"",C39/B39)</f>
        <v/>
      </c>
      <c r="E39" s="16" t="n">
        <v>0</v>
      </c>
    </row>
    <row r="40">
      <c r="A40" s="15" t="inlineStr">
        <is>
          <t>capgemini</t>
        </is>
      </c>
      <c r="B40" s="16" t="n">
        <v>7260552.98</v>
      </c>
      <c r="C40" s="16" t="n">
        <v>98321.07000000001</v>
      </c>
      <c r="D40" s="19">
        <f>IF(B40=0,"",C40/B40)</f>
        <v/>
      </c>
      <c r="E40" s="16" t="n">
        <v>0</v>
      </c>
    </row>
    <row r="41">
      <c r="A41" s="15" t="inlineStr">
        <is>
          <t>fresenius</t>
        </is>
      </c>
      <c r="B41" s="16" t="n">
        <v>32253363.5</v>
      </c>
      <c r="C41" s="16" t="n">
        <v>635912.58</v>
      </c>
      <c r="D41" s="19">
        <f>IF(B41=0,"",C41/B41)</f>
        <v/>
      </c>
      <c r="E41" s="16" t="n">
        <v>-580601.26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2026-10-29T08:27:57Z</dcterms:created>
  <dcterms:modified xsi:type="dcterms:W3CDTF">2026-10-29T08:27:57Z</dcterms:modified>
</cp:coreProperties>
</file>