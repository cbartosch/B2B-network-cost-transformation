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25 revoked, 5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BE-BROADBAND_PON-2500-researched</t>
        </is>
      </c>
      <c r="B2" s="5" t="inlineStr">
        <is>
          <t>BE</t>
        </is>
      </c>
      <c r="C2" s="5" t="inlineStr">
        <is>
          <t>BROADBAND_PON</t>
        </is>
      </c>
      <c r="D2" s="5" t="n">
        <v>2500</v>
      </c>
      <c r="E2" s="6" t="inlineStr">
        <is>
          <t>undecided</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row>
    <row r="3">
      <c r="A3" s="5" t="inlineStr">
        <is>
          <t>ES-DIA-100-researched</t>
        </is>
      </c>
      <c r="B3" s="5" t="inlineStr">
        <is>
          <t>ES</t>
        </is>
      </c>
      <c r="C3" s="5" t="inlineStr">
        <is>
          <t>DIA</t>
        </is>
      </c>
      <c r="D3" s="5" t="n">
        <v>100</v>
      </c>
      <c r="E3" s="6" t="inlineStr">
        <is>
          <t>undecided</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run narrative (the disposition was replaced)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c r="U3" s="5" t="inlineStr">
        <is>
          <t>2025</t>
        </is>
      </c>
      <c r="V3" s="5" t="inlineStr">
        <is>
          <t>inditex</t>
        </is>
      </c>
      <c r="W3" s="12" t="n">
        <v>-2357511.18</v>
      </c>
      <c r="X3" s="5" t="n">
        <v>2072</v>
      </c>
      <c r="Y3" s="3" t="inlineStr">
        <is>
          <t>santander -1,760,707; fresenius -580,601; carrefour -16,203</t>
        </is>
      </c>
      <c r="Z3" s="3" t="inlineStr">
        <is>
          <t>no</t>
        </is>
      </c>
      <c r="AA3" s="3" t="inlineStr"/>
    </row>
    <row r="4">
      <c r="A4" s="5" t="inlineStr">
        <is>
          <t>SG-DIA-100-researched</t>
        </is>
      </c>
      <c r="B4" s="5" t="inlineStr">
        <is>
          <t>SG</t>
        </is>
      </c>
      <c r="C4" s="5" t="inlineStr">
        <is>
          <t>DIA</t>
        </is>
      </c>
      <c r="D4" s="5" t="n">
        <v>100</v>
      </c>
      <c r="E4" s="6" t="inlineStr">
        <is>
          <t>undecided</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row>
    <row r="5">
      <c r="A5" s="5" t="inlineStr">
        <is>
          <t>US-BROADBAND_PON-300-researched</t>
        </is>
      </c>
      <c r="B5" s="5" t="inlineStr">
        <is>
          <t>US</t>
        </is>
      </c>
      <c r="C5" s="5" t="inlineStr">
        <is>
          <t>BROADBAND_PON</t>
        </is>
      </c>
      <c r="D5" s="5" t="n">
        <v>300</v>
      </c>
      <c r="E5" s="6" t="inlineStr">
        <is>
          <t>undecided</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-75873.6111235</v>
      </c>
      <c r="X5" s="5" t="n">
        <v>243</v>
      </c>
      <c r="Y5" s="3" t="inlineStr">
        <is>
          <t>simmons-bank -39,654; basf -8,430; siemens -7,181</t>
        </is>
      </c>
      <c r="Z5" s="3" t="inlineStr">
        <is>
          <t>250 Mbps at 114 &gt; 300 Mbps at 70 USD</t>
        </is>
      </c>
      <c r="AA5" s="3" t="inlineStr">
        <is>
          <t>simmons-bank 70 USD</t>
        </is>
      </c>
    </row>
    <row r="6">
      <c r="A6" s="5" t="inlineStr">
        <is>
          <t>ZA-DIA-100-researched</t>
        </is>
      </c>
      <c r="B6" s="5" t="inlineStr">
        <is>
          <t>ZA</t>
        </is>
      </c>
      <c r="C6" s="5" t="inlineStr">
        <is>
          <t>DIA</t>
        </is>
      </c>
      <c r="D6" s="5" t="n">
        <v>100</v>
      </c>
      <c r="E6" s="6" t="inlineStr">
        <is>
          <t>undecided</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run narrative (the disposition was replaced)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run narrative (the disposition was replaced)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c r="U10" s="5" t="inlineStr">
        <is>
          <t>2025</t>
        </is>
      </c>
      <c r="V10" s="5" t="inlineStr">
        <is>
          <t>woolworths</t>
        </is>
      </c>
      <c r="W10" s="12" t="n">
        <v>-21538.53608108108</v>
      </c>
      <c r="X10" s="5" t="n">
        <v>30</v>
      </c>
      <c r="Y10" s="3" t="inlineStr">
        <is>
          <t>woolworths -21,539</t>
        </is>
      </c>
      <c r="Z10" s="3" t="inlineStr">
        <is>
          <t>no</t>
        </is>
      </c>
      <c r="AA10" s="3" t="inlineStr"/>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-304559.635439</v>
      </c>
      <c r="X13" s="5" t="n">
        <v>20</v>
      </c>
      <c r="Y13" s="3" t="inlineStr">
        <is>
          <t>rio-tinto -304,560</t>
        </is>
      </c>
      <c r="Z13" s="3" t="inlineStr">
        <is>
          <t>no</t>
        </is>
      </c>
      <c r="AA13" s="3" t="inlineStr">
        <is>
          <t>woolworths 699 AUD</t>
        </is>
      </c>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-106959.98274275</v>
      </c>
      <c r="X15" s="5" t="n">
        <v>72</v>
      </c>
      <c r="Y15" s="3" t="inlineStr">
        <is>
          <t>bnp-paribas -29,777; siemens -26,800; capgemini -14,889</t>
        </is>
      </c>
      <c r="Z15" s="3" t="inlineStr">
        <is>
          <t>500 Mbps at 1398 &gt; 1000 Mbps at 1378 USD</t>
        </is>
      </c>
      <c r="AA15" s="3" t="inlineStr">
        <is>
          <t>bnp-paribas ~1200 EUR</t>
        </is>
      </c>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-111641.2488303241</v>
      </c>
      <c r="X17" s="5" t="n">
        <v>1916</v>
      </c>
      <c r="Y17" s="3" t="inlineStr">
        <is>
          <t>mcdonalds -87,810; deutsche-post-dhl -20,102; royal-mail -2,622</t>
        </is>
      </c>
      <c r="Z17" s="3" t="inlineStr">
        <is>
          <t>100 Mbps at 80 &gt; 200 Mbps at 40 USD; 250 Mbps at 108 &gt; 400 Mbps at 47 USD; 500 Mbps at 140 &gt; 600 Mbps at 52 USD</t>
        </is>
      </c>
      <c r="AA17" s="3" t="inlineStr"/>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run narrative (the disposition was replaced)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run narrative (the disposition was replaced)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-13448332.818288</v>
      </c>
      <c r="X27" s="5" t="n">
        <v>17371</v>
      </c>
      <c r="Y27" s="3" t="inlineStr">
        <is>
          <t>mcdonalds -11,026,179; ahold-delhaize -1,096,373; ups -653,236</t>
        </is>
      </c>
      <c r="Z27" s="3" t="inlineStr">
        <is>
          <t>250 Mbps at 162 &gt; 500 Mbps at 110 USD</t>
        </is>
      </c>
      <c r="AA27" s="3" t="inlineStr">
        <is>
          <t>ahold-delhaize 110 USD; simmons-bank 100 USD</t>
        </is>
      </c>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-1331147.0734</v>
      </c>
      <c r="X32" s="5" t="n">
        <v>399</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0</v>
      </c>
      <c r="X33" s="5" t="n">
        <v>0</v>
      </c>
      <c r="Y33" s="3" t="inlineStr"/>
      <c r="Z33" s="3" t="inlineStr">
        <is>
          <t>500 Mbps at 1242 &gt; 1000 Mbps at 901 USD</t>
        </is>
      </c>
      <c r="AA33" s="3" t="inlineStr">
        <is>
          <t>abb 1987 USD; ahold-delhaize 1987 USD; bayer 1987 USD; fresenius 1987 USD; mcdonalds 1987 USD; siemens 1987 USD; simmons-bank 1987 USD; ups 1987 USD</t>
        </is>
      </c>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-32322.017413</v>
      </c>
      <c r="X34" s="5" t="n">
        <v>2</v>
      </c>
      <c r="Y34" s="3" t="inlineStr">
        <is>
          <t>shell -32,322</t>
        </is>
      </c>
      <c r="Z34" s="3" t="inlineStr">
        <is>
          <t>9000 Mbps at 3267 &gt; 10000 Mbps at 1807 USD</t>
        </is>
      </c>
      <c r="AA34" s="3" t="inlineStr">
        <is>
          <t>simmons-bank 1807 USD</t>
        </is>
      </c>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run narrative (the disposition was replaced)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c r="U36" s="5" t="inlineStr">
        <is>
          <t>2025</t>
        </is>
      </c>
      <c r="V36" s="5" t="inlineStr">
        <is>
          <t>woolworths</t>
        </is>
      </c>
      <c r="W36" s="12" t="n">
        <v>0</v>
      </c>
      <c r="X36" s="5" t="n">
        <v>0</v>
      </c>
      <c r="Y36" s="3" t="inlineStr"/>
      <c r="Z36" s="3" t="inlineStr">
        <is>
          <t>no</t>
        </is>
      </c>
      <c r="AA36" s="3" t="inlineStr"/>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-131200.10221975</v>
      </c>
      <c r="X39" s="5" t="n">
        <v>126</v>
      </c>
      <c r="Y39" s="3" t="inlineStr">
        <is>
          <t>basf -38,527; siemens -29,156; volkswagen -29,156</t>
        </is>
      </c>
      <c r="Z39" s="3" t="inlineStr">
        <is>
          <t>500 Mbps at 132 &gt; 750 Mbps at 35 USD</t>
        </is>
      </c>
      <c r="AA39" s="3" t="inlineStr">
        <is>
          <t>fresenius 30.74 EUR</t>
        </is>
      </c>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-113710.9553765</v>
      </c>
      <c r="X40" s="5" t="n">
        <v>126</v>
      </c>
      <c r="Y40" s="3" t="inlineStr">
        <is>
          <t>basf -33,391; siemens -25,269; volkswagen -25,269</t>
        </is>
      </c>
      <c r="Z40" s="3" t="inlineStr">
        <is>
          <t>500 Mbps at 132 &gt; 1000 Mbps at 48 USD</t>
        </is>
      </c>
      <c r="AA40" s="3" t="inlineStr">
        <is>
          <t>fresenius 41.97 EUR</t>
        </is>
      </c>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 untraceable</t>
        </is>
      </c>
      <c r="Q41" s="3" t="inlineStr"/>
      <c r="R41" s="5" t="inlineStr">
        <is>
          <t>run narrative (the disposition was replaced)</t>
        </is>
      </c>
      <c r="S41" s="3" t="inlineStr"/>
      <c r="T41" s="5" t="inlineStr"/>
      <c r="U41" s="5" t="inlineStr">
        <is>
          <t>2025</t>
        </is>
      </c>
      <c r="V41" s="5" t="inlineStr">
        <is>
          <t>carrefour</t>
        </is>
      </c>
      <c r="W41" s="12" t="n">
        <v>0</v>
      </c>
      <c r="X41" s="5" t="n">
        <v>0</v>
      </c>
      <c r="Y41" s="3" t="inlineStr"/>
      <c r="Z41" s="3" t="inlineStr">
        <is>
          <t>no</t>
        </is>
      </c>
      <c r="AA41" s="3" t="inlineStr"/>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run narrative (the disposition was replaced)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c r="U42" s="5" t="inlineStr">
        <is>
          <t>2025</t>
        </is>
      </c>
      <c r="V42" s="5" t="inlineStr">
        <is>
          <t>inditex</t>
        </is>
      </c>
      <c r="W42" s="12" t="n">
        <v>-229632.48</v>
      </c>
      <c r="X42" s="5" t="n">
        <v>28</v>
      </c>
      <c r="Y42" s="3" t="inlineStr">
        <is>
          <t>iberdrola -164,023; volkswagen -65,609</t>
        </is>
      </c>
      <c r="Z42" s="3" t="inlineStr">
        <is>
          <t>500 Mbps at 1196 &gt; 1000 Mbps at 515 USD</t>
        </is>
      </c>
      <c r="AA42" s="3" t="inlineStr"/>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run narrative (the disposition was replaced)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c r="U45" s="5" t="inlineStr">
        <is>
          <t>2026-05</t>
        </is>
      </c>
      <c r="V45" s="5" t="inlineStr">
        <is>
          <t>saint-gobain</t>
        </is>
      </c>
      <c r="W45" s="12" t="n">
        <v>0</v>
      </c>
      <c r="X45" s="5" t="n">
        <v>0</v>
      </c>
      <c r="Y45" s="3" t="inlineStr"/>
      <c r="Z45" s="3" t="inlineStr">
        <is>
          <t>100 Mbps at 80 &gt; 200 Mbps at 40 USD; 250 Mbps at 108 &gt; 400 Mbps at 47 USD; 500 Mbps at 74 &gt; 600 Mbps at 52 USD</t>
        </is>
      </c>
      <c r="AA45" s="3" t="inlineStr"/>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-28389.02</v>
      </c>
      <c r="X46" s="5" t="n">
        <v>39</v>
      </c>
      <c r="Y46" s="3" t="inlineStr">
        <is>
          <t>saint-gobain -13,831; unilever -8,007; siemens -6,551</t>
        </is>
      </c>
      <c r="Z46" s="3" t="inlineStr">
        <is>
          <t>50 Mbps at 58 &gt; 100 Mbps at 47 USD; 500 Mbps at 120 &gt; 1000 Mbps at 52 USD</t>
        </is>
      </c>
      <c r="AA46" s="3" t="inlineStr">
        <is>
          <t>tesco 39.10 GBP</t>
        </is>
      </c>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-659380.2940418924</v>
      </c>
      <c r="X50" s="5" t="n">
        <v>133</v>
      </c>
      <c r="Y50" s="3" t="inlineStr">
        <is>
          <t>nhs-england -183,990; siemens -119,345; network-rail -119,345</t>
        </is>
      </c>
      <c r="Z50" s="3" t="inlineStr">
        <is>
          <t>500 Mbps at 569 &gt; 1000 Mbps at 261 USD</t>
        </is>
      </c>
      <c r="AA50" s="3" t="inlineStr">
        <is>
          <t>deutsche-post-dhl 267 GBP; iberdrola 195 GBP; nhs-england 300 GBP</t>
        </is>
      </c>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c r="N51" s="11">
        <f>IF(OR(L51="",M51=""),"",L51/M51)</f>
        <v/>
      </c>
      <c r="O51" s="5" t="inlineStr">
        <is>
          <t>none - new tier</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0</v>
      </c>
      <c r="X51" s="5" t="n">
        <v>0</v>
      </c>
      <c r="Y51" s="3" t="inlineStr"/>
      <c r="Z51" s="3" t="inlineStr">
        <is>
          <t>1000 Mbps at 737 &gt; 10000 Mbps at 603 USD</t>
        </is>
      </c>
      <c r="AA51" s="3" t="inlineStr">
        <is>
          <t>deutsche-post-dhl 450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-2777012.718631203</v>
      </c>
      <c r="X53" s="5" t="n">
        <v>550</v>
      </c>
      <c r="Y53" s="3" t="inlineStr">
        <is>
          <t>nhs-england -1,312,365; saint-gobain -281,152;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-1352116.562784881</v>
      </c>
      <c r="X54" s="5" t="n">
        <v>572</v>
      </c>
      <c r="Y54" s="3" t="inlineStr">
        <is>
          <t>network-rail -497,440; nhs-england -492,773; saint-gobain -79,161</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-106959.98274275</v>
      </c>
      <c r="F10" s="16" t="n">
        <v>0</v>
      </c>
    </row>
    <row r="11">
      <c r="A11" s="15" t="inlineStr">
        <is>
          <t>GB</t>
        </is>
      </c>
      <c r="B11" s="15" t="inlineStr">
        <is>
          <t>BROADBAND_HFC</t>
        </is>
      </c>
      <c r="C11" s="15" t="inlineStr">
        <is>
          <t>200, 400, 600, 1000, 2000</t>
        </is>
      </c>
      <c r="D11" s="15" t="inlineStr">
        <is>
          <t>-</t>
        </is>
      </c>
      <c r="E11" s="16" t="n">
        <v>-6205842.690308512</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-75873.6111235</v>
      </c>
    </row>
    <row r="25">
      <c r="A25" s="15" t="inlineStr">
        <is>
          <t>US</t>
        </is>
      </c>
      <c r="B25" s="15" t="inlineStr">
        <is>
          <t>DIA</t>
        </is>
      </c>
      <c r="C25" s="15" t="inlineStr">
        <is>
          <t>100, 1000, 10000</t>
        </is>
      </c>
      <c r="D25" s="15" t="inlineStr">
        <is>
          <t>-</t>
        </is>
      </c>
      <c r="E25" s="16" t="n">
        <v>-912496.4174</v>
      </c>
      <c r="F25" s="16" t="n">
        <v>0</v>
      </c>
    </row>
    <row r="26">
      <c r="A26" s="15" t="inlineStr">
        <is>
          <t>US</t>
        </is>
      </c>
      <c r="B26" s="15" t="inlineStr">
        <is>
          <t>ETHERNET</t>
        </is>
      </c>
      <c r="C26" s="15" t="inlineStr">
        <is>
          <t>10000</t>
        </is>
      </c>
      <c r="D26" s="15" t="inlineStr">
        <is>
          <t>-</t>
        </is>
      </c>
      <c r="E26" s="16" t="n">
        <v>-32322.017413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65837836.35</v>
      </c>
      <c r="C2" s="16" t="n">
        <v>-16128633.003194</v>
      </c>
      <c r="D2" s="19">
        <f>IF(B2=0,"",C2/B2)</f>
        <v/>
      </c>
      <c r="E2" s="16" t="n">
        <v>0</v>
      </c>
    </row>
    <row r="3">
      <c r="A3" s="15" t="inlineStr">
        <is>
          <t>tesco</t>
        </is>
      </c>
      <c r="B3" s="16" t="n">
        <v>19070203.07</v>
      </c>
      <c r="C3" s="16" t="n">
        <v>-2729944.141842423</v>
      </c>
      <c r="D3" s="19">
        <f>IF(B3=0,"",C3/B3)</f>
        <v/>
      </c>
      <c r="E3" s="16" t="n">
        <v>0</v>
      </c>
    </row>
    <row r="4">
      <c r="A4" s="15" t="inlineStr">
        <is>
          <t>boots</t>
        </is>
      </c>
      <c r="B4" s="16" t="n">
        <v>9540989.82</v>
      </c>
      <c r="C4" s="16" t="n">
        <v>-1535238.860845505</v>
      </c>
      <c r="D4" s="19">
        <f>IF(B4=0,"",C4/B4)</f>
        <v/>
      </c>
      <c r="E4" s="16" t="n">
        <v>0</v>
      </c>
    </row>
    <row r="5">
      <c r="A5" s="15" t="inlineStr">
        <is>
          <t>ahold-delhaize</t>
        </is>
      </c>
      <c r="B5" s="16" t="n">
        <v>27033676.25</v>
      </c>
      <c r="C5" s="16" t="n">
        <v>-1094627.74</v>
      </c>
      <c r="D5" s="19">
        <f>IF(B5=0,"",C5/B5)</f>
        <v/>
      </c>
      <c r="E5" s="16" t="n">
        <v>0</v>
      </c>
    </row>
    <row r="6">
      <c r="A6" s="15" t="inlineStr">
        <is>
          <t>woolworths</t>
        </is>
      </c>
      <c r="B6" s="16" t="n">
        <v>4756737.94</v>
      </c>
      <c r="C6" s="16" t="n">
        <v>-1075603.909216216</v>
      </c>
      <c r="D6" s="19">
        <f>IF(B6=0,"",C6/B6)</f>
        <v/>
      </c>
      <c r="E6" s="16" t="n">
        <v>0</v>
      </c>
    </row>
    <row r="7">
      <c r="A7" s="15" t="inlineStr">
        <is>
          <t>ups</t>
        </is>
      </c>
      <c r="B7" s="16" t="n">
        <v>21781122.63</v>
      </c>
      <c r="C7" s="16" t="n">
        <v>-884341.338481</v>
      </c>
      <c r="D7" s="19">
        <f>IF(B7=0,"",C7/B7)</f>
        <v/>
      </c>
      <c r="E7" s="16" t="n">
        <v>0</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-7181.45</v>
      </c>
    </row>
    <row r="11">
      <c r="A11" s="15" t="inlineStr">
        <is>
          <t>deutsche-post-dhl</t>
        </is>
      </c>
      <c r="B11" s="16" t="n">
        <v>18485284.48</v>
      </c>
      <c r="C11" s="16" t="n">
        <v>-349440.29</v>
      </c>
      <c r="D11" s="19">
        <f>IF(B11=0,"",C11/B11)</f>
        <v/>
      </c>
      <c r="E11" s="16" t="n">
        <v>0</v>
      </c>
    </row>
    <row r="12">
      <c r="A12" s="15" t="inlineStr">
        <is>
          <t>rio-tinto</t>
        </is>
      </c>
      <c r="B12" s="16" t="n">
        <v>1330261.85</v>
      </c>
      <c r="C12" s="16" t="n">
        <v>-304559.635439</v>
      </c>
      <c r="D12" s="19">
        <f>IF(B12=0,"",C12/B12)</f>
        <v/>
      </c>
      <c r="E12" s="16" t="n">
        <v>0</v>
      </c>
    </row>
    <row r="13">
      <c r="A13" s="15" t="inlineStr">
        <is>
          <t>iberdrola</t>
        </is>
      </c>
      <c r="B13" s="16" t="n">
        <v>12758906.54</v>
      </c>
      <c r="C13" s="16" t="n">
        <v>-243421.43</v>
      </c>
      <c r="D13" s="19">
        <f>IF(B13=0,"",C13/B13)</f>
        <v/>
      </c>
      <c r="E13" s="16" t="n">
        <v>0</v>
      </c>
    </row>
    <row r="14">
      <c r="A14" s="15" t="inlineStr">
        <is>
          <t>network-rail</t>
        </is>
      </c>
      <c r="B14" s="16" t="n">
        <v>5417814.21</v>
      </c>
      <c r="C14" s="16" t="n">
        <v>-216374.5984898834</v>
      </c>
      <c r="D14" s="19">
        <f>IF(B14=0,"",C14/B14)</f>
        <v/>
      </c>
      <c r="E14" s="16" t="n">
        <v>0</v>
      </c>
    </row>
    <row r="15">
      <c r="A15" s="15" t="inlineStr">
        <is>
          <t>nhs-england</t>
        </is>
      </c>
      <c r="B15" s="16" t="n">
        <v>12775674.03</v>
      </c>
      <c r="C15" s="16" t="n">
        <v>-161314.9972477556</v>
      </c>
      <c r="D15" s="19">
        <f>IF(B15=0,"",C15/B15)</f>
        <v/>
      </c>
      <c r="E15" s="16" t="n">
        <v>0</v>
      </c>
    </row>
    <row r="16">
      <c r="A16" s="15" t="inlineStr">
        <is>
          <t>basf</t>
        </is>
      </c>
      <c r="B16" s="16" t="n">
        <v>5700020.48</v>
      </c>
      <c r="C16" s="16" t="n">
        <v>-88014.36</v>
      </c>
      <c r="D16" s="19">
        <f>IF(B16=0,"",C16/B16)</f>
        <v/>
      </c>
      <c r="E16" s="16" t="n">
        <v>-8430.4</v>
      </c>
    </row>
    <row r="17">
      <c r="A17" s="15" t="inlineStr">
        <is>
          <t>nestle</t>
        </is>
      </c>
      <c r="B17" s="16" t="n">
        <v>11593125.27</v>
      </c>
      <c r="C17" s="16" t="n">
        <v>-85349.23468125</v>
      </c>
      <c r="D17" s="19">
        <f>IF(B17=0,"",C17/B17)</f>
        <v/>
      </c>
      <c r="E17" s="16" t="n">
        <v>0</v>
      </c>
    </row>
    <row r="18">
      <c r="A18" s="15" t="inlineStr">
        <is>
          <t>capgemini</t>
        </is>
      </c>
      <c r="B18" s="16" t="n">
        <v>4674678.59</v>
      </c>
      <c r="C18" s="16" t="n">
        <v>-85290.94</v>
      </c>
      <c r="D18" s="19">
        <f>IF(B18=0,"",C18/B18)</f>
        <v/>
      </c>
      <c r="E18" s="16" t="n">
        <v>0</v>
      </c>
    </row>
    <row r="19">
      <c r="A19" s="15" t="inlineStr">
        <is>
          <t>novartis</t>
        </is>
      </c>
      <c r="B19" s="16" t="n">
        <v>4345263.33</v>
      </c>
      <c r="C19" s="16" t="n">
        <v>-79378.95483375</v>
      </c>
      <c r="D19" s="19">
        <f>IF(B19=0,"",C19/B19)</f>
        <v/>
      </c>
      <c r="E19" s="16" t="n">
        <v>-2497.9010275</v>
      </c>
    </row>
    <row r="20">
      <c r="A20" s="15" t="inlineStr">
        <is>
          <t>unilever</t>
        </is>
      </c>
      <c r="B20" s="16" t="n">
        <v>4722081.52</v>
      </c>
      <c r="C20" s="16" t="n">
        <v>-67713.11</v>
      </c>
      <c r="D20" s="19">
        <f>IF(B20=0,"",C20/B20)</f>
        <v/>
      </c>
      <c r="E20" s="16" t="n">
        <v>-7181.45</v>
      </c>
    </row>
    <row r="21">
      <c r="A21" s="15" t="inlineStr">
        <is>
          <t>royal-mail</t>
        </is>
      </c>
      <c r="B21" s="16" t="n">
        <v>7504809.87</v>
      </c>
      <c r="C21" s="16" t="n">
        <v>-61732.40466032427</v>
      </c>
      <c r="D21" s="19">
        <f>IF(B21=0,"",C21/B21)</f>
        <v/>
      </c>
      <c r="E21" s="16" t="n">
        <v>0</v>
      </c>
    </row>
    <row r="22">
      <c r="A22" s="15" t="inlineStr">
        <is>
          <t>santander</t>
        </is>
      </c>
      <c r="B22" s="16" t="n">
        <v>17697685.39</v>
      </c>
      <c r="C22" s="16" t="n">
        <v>-57957.48</v>
      </c>
      <c r="D22" s="19">
        <f>IF(B22=0,"",C22/B22)</f>
        <v/>
      </c>
      <c r="E22" s="16" t="n">
        <v>-1760707.09</v>
      </c>
    </row>
    <row r="23">
      <c r="A23" s="15" t="inlineStr">
        <is>
          <t>volkswagen</t>
        </is>
      </c>
      <c r="B23" s="16" t="n">
        <v>6180254.35</v>
      </c>
      <c r="C23" s="16" t="n">
        <v>-48420.69</v>
      </c>
      <c r="D23" s="19">
        <f>IF(B23=0,"",C23/B23)</f>
        <v/>
      </c>
      <c r="E23" s="16" t="n">
        <v>-936.71</v>
      </c>
    </row>
    <row r="24">
      <c r="A24" s="15" t="inlineStr">
        <is>
          <t>unfi</t>
        </is>
      </c>
      <c r="B24" s="16" t="n">
        <v>1885106.05</v>
      </c>
      <c r="C24" s="16" t="n">
        <v>-38354.045184</v>
      </c>
      <c r="D24" s="19">
        <f>IF(B24=0,"",C24/B24)</f>
        <v/>
      </c>
      <c r="E24" s="16" t="n">
        <v>0</v>
      </c>
    </row>
    <row r="25">
      <c r="A25" s="15" t="inlineStr">
        <is>
          <t>bayer</t>
        </is>
      </c>
      <c r="B25" s="16" t="n">
        <v>3025050.32</v>
      </c>
      <c r="C25" s="16" t="n">
        <v>-34035.61</v>
      </c>
      <c r="D25" s="19">
        <f>IF(B25=0,"",C25/B25)</f>
        <v/>
      </c>
      <c r="E25" s="16" t="n">
        <v>0</v>
      </c>
    </row>
    <row r="26">
      <c r="A26" s="15" t="inlineStr">
        <is>
          <t>shell</t>
        </is>
      </c>
      <c r="B26" s="16" t="n">
        <v>12239938.18</v>
      </c>
      <c r="C26" s="16" t="n">
        <v>-32322.017413</v>
      </c>
      <c r="D26" s="19">
        <f>IF(B26=0,"",C26/B26)</f>
        <v/>
      </c>
      <c r="E26" s="16" t="n">
        <v>0</v>
      </c>
    </row>
    <row r="27">
      <c r="A27" s="15" t="inlineStr">
        <is>
          <t>bnp-paribas</t>
        </is>
      </c>
      <c r="B27" s="16" t="n">
        <v>31836939.35</v>
      </c>
      <c r="C27" s="16" t="n">
        <v>-29777.28</v>
      </c>
      <c r="D27" s="19">
        <f>IF(B27=0,"",C27/B27)</f>
        <v/>
      </c>
      <c r="E27" s="16" t="n">
        <v>0</v>
      </c>
    </row>
    <row r="28">
      <c r="A28" s="15" t="inlineStr">
        <is>
          <t>toyota</t>
        </is>
      </c>
      <c r="B28" s="16" t="n">
        <v>2762186.59</v>
      </c>
      <c r="C28" s="16" t="n">
        <v>-17558.74610201351</v>
      </c>
      <c r="D28" s="19">
        <f>IF(B28=0,"",C28/B28)</f>
        <v/>
      </c>
      <c r="E28" s="16" t="n">
        <v>0</v>
      </c>
    </row>
    <row r="29">
      <c r="A29" s="15" t="inlineStr">
        <is>
          <t>michelin</t>
        </is>
      </c>
      <c r="B29" s="16" t="n">
        <v>2771269.98</v>
      </c>
      <c r="C29" s="16" t="n">
        <v>-14943.12</v>
      </c>
      <c r="D29" s="19">
        <f>IF(B29=0,"",C29/B29)</f>
        <v/>
      </c>
      <c r="E29" s="16" t="n">
        <v>0</v>
      </c>
    </row>
    <row r="30">
      <c r="A30" s="15" t="inlineStr">
        <is>
          <t>abb</t>
        </is>
      </c>
      <c r="B30" s="16" t="n">
        <v>1159918.54</v>
      </c>
      <c r="C30" s="16" t="n">
        <v>-8419.634472</v>
      </c>
      <c r="D30" s="19">
        <f>IF(B30=0,"",C30/B30)</f>
        <v/>
      </c>
      <c r="E30" s="16" t="n">
        <v>-5308.030428</v>
      </c>
    </row>
    <row r="31">
      <c r="A31" s="15" t="inlineStr">
        <is>
          <t>accor</t>
        </is>
      </c>
      <c r="B31" s="16" t="n">
        <v>8652050.039999999</v>
      </c>
      <c r="C31" s="16" t="n">
        <v>-7444.32</v>
      </c>
      <c r="D31" s="19">
        <f>IF(B31=0,"",C31/B31)</f>
        <v/>
      </c>
      <c r="E31" s="16" t="n">
        <v>0</v>
      </c>
    </row>
    <row r="32">
      <c r="A32" s="15" t="inlineStr">
        <is>
          <t>henkel</t>
        </is>
      </c>
      <c r="B32" s="16" t="n">
        <v>675430.89</v>
      </c>
      <c r="C32" s="16" t="n">
        <v>-7429.09</v>
      </c>
      <c r="D32" s="19">
        <f>IF(B32=0,"",C32/B32)</f>
        <v/>
      </c>
      <c r="E32" s="16" t="n">
        <v>-4683.56</v>
      </c>
    </row>
    <row r="33">
      <c r="A33" s="15" t="inlineStr">
        <is>
          <t>danone</t>
        </is>
      </c>
      <c r="B33" s="16" t="n">
        <v>3140600.5</v>
      </c>
      <c r="C33" s="16" t="n">
        <v>-7279.6</v>
      </c>
      <c r="D33" s="19">
        <f>IF(B33=0,"",C33/B33)</f>
        <v/>
      </c>
      <c r="E33" s="16" t="n">
        <v>0</v>
      </c>
    </row>
    <row r="34">
      <c r="A34" s="15" t="inlineStr">
        <is>
          <t>saint-gobain</t>
        </is>
      </c>
      <c r="B34" s="16" t="n">
        <v>21144690.36</v>
      </c>
      <c r="C34" s="16" t="n">
        <v>-5967.71</v>
      </c>
      <c r="D34" s="19">
        <f>IF(B34=0,"",C34/B34)</f>
        <v/>
      </c>
      <c r="E34" s="16" t="n">
        <v>0</v>
      </c>
    </row>
    <row r="35">
      <c r="A35" s="15" t="inlineStr">
        <is>
          <t>air-france-klm</t>
        </is>
      </c>
      <c r="B35" s="16" t="n">
        <v>989602.99</v>
      </c>
      <c r="C35" s="16" t="n">
        <v>-2977.73</v>
      </c>
      <c r="D35" s="19">
        <f>IF(B35=0,"",C35/B35)</f>
        <v/>
      </c>
      <c r="E35" s="16" t="n">
        <v>0</v>
      </c>
    </row>
    <row r="36">
      <c r="A36" s="15" t="inlineStr">
        <is>
          <t>dbs</t>
        </is>
      </c>
      <c r="B36" s="16" t="n">
        <v>11630858.38</v>
      </c>
      <c r="C36" s="16" t="n">
        <v>-2199.09195</v>
      </c>
      <c r="D36" s="19">
        <f>IF(B36=0,"",C36/B36)</f>
        <v/>
      </c>
      <c r="E36" s="16" t="n">
        <v>0</v>
      </c>
    </row>
    <row r="37">
      <c r="A37" s="15" t="inlineStr">
        <is>
          <t>allianz</t>
        </is>
      </c>
      <c r="B37" s="16" t="n">
        <v>17527788.15</v>
      </c>
      <c r="C37" s="16" t="n">
        <v>-1488.86</v>
      </c>
      <c r="D37" s="19">
        <f>IF(B37=0,"",C37/B37)</f>
        <v/>
      </c>
      <c r="E37" s="16" t="n">
        <v>0</v>
      </c>
    </row>
    <row r="38">
      <c r="A38" s="15" t="inlineStr">
        <is>
          <t>totalenergies</t>
        </is>
      </c>
      <c r="B38" s="16" t="n">
        <v>10952685.28</v>
      </c>
      <c r="C38" s="16" t="n">
        <v>-1369.752484</v>
      </c>
      <c r="D38" s="19">
        <f>IF(B38=0,"",C38/B38)</f>
        <v/>
      </c>
      <c r="E38" s="16" t="n">
        <v>0</v>
      </c>
    </row>
    <row r="39">
      <c r="A39" s="15" t="inlineStr">
        <is>
          <t>carrefour</t>
        </is>
      </c>
      <c r="B39" s="16" t="n">
        <v>39782444.83</v>
      </c>
      <c r="C39" s="16" t="n">
        <v>0</v>
      </c>
      <c r="D39" s="19">
        <f>IF(B39=0,"",C39/B39)</f>
        <v/>
      </c>
      <c r="E39" s="16" t="n">
        <v>-16202.83</v>
      </c>
    </row>
    <row r="40">
      <c r="A40" s="15" t="inlineStr">
        <is>
          <t>anglo-american</t>
        </is>
      </c>
      <c r="B40" s="16" t="n">
        <v>373694.9</v>
      </c>
      <c r="C40" s="16" t="n">
        <v>0</v>
      </c>
      <c r="D40" s="19">
        <f>IF(B40=0,"",C40/B40)</f>
        <v/>
      </c>
      <c r="E40" s="16" t="n">
        <v>-16474.2432</v>
      </c>
    </row>
    <row r="41">
      <c r="A41" s="15" t="inlineStr">
        <is>
          <t>maersk</t>
        </is>
      </c>
      <c r="B41" s="16" t="n">
        <v>2907843.4</v>
      </c>
      <c r="C41" s="16" t="n">
        <v>2575.66848</v>
      </c>
      <c r="D41" s="19">
        <f>IF(B41=0,"",C41/B41)</f>
        <v/>
      </c>
      <c r="E41" s="16" t="n">
        <v>0</v>
      </c>
    </row>
    <row r="42">
      <c r="A42" s="15" t="inlineStr">
        <is>
          <t>heidelberg-materials</t>
        </is>
      </c>
      <c r="B42" s="16" t="n">
        <v>6531734.23</v>
      </c>
      <c r="C42" s="16" t="n">
        <v>3213.97</v>
      </c>
      <c r="D42" s="19">
        <f>IF(B42=0,"",C42/B42)</f>
        <v/>
      </c>
      <c r="E42" s="16" t="n">
        <v>0</v>
      </c>
    </row>
    <row r="43">
      <c r="A43" s="15" t="inlineStr">
        <is>
          <t>fresenius</t>
        </is>
      </c>
      <c r="B43" s="16" t="n">
        <v>33199591.55</v>
      </c>
      <c r="C43" s="16" t="n">
        <v>635912.58</v>
      </c>
      <c r="D43" s="19">
        <f>IF(B43=0,"",C43/B43)</f>
        <v/>
      </c>
      <c r="E43"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2026-10-26T10:23:25Z</dcterms:created>
  <dcterms:modified xsi:type="dcterms:W3CDTF">2026-10-26T10:23:25Z</dcterms:modified>
</cp:coreProperties>
</file>