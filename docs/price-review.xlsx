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'Prices'!$A$1:$AB$60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5 held, 25 revoked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 width="40" customWidth="1" min="28" max="28"/>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c r="AB1" s="4" t="inlineStr">
        <is>
          <t>Traced URL</t>
        </is>
      </c>
    </row>
    <row r="2">
      <c r="A2" s="5" t="inlineStr">
        <is>
          <t>BE-BROADBAND_PON-2500-researched</t>
        </is>
      </c>
      <c r="B2" s="5" t="inlineStr">
        <is>
          <t>BE</t>
        </is>
      </c>
      <c r="C2" s="5" t="inlineStr">
        <is>
          <t>BROADBAND_PON</t>
        </is>
      </c>
      <c r="D2" s="5" t="n">
        <v>2500</v>
      </c>
      <c r="E2" s="6" t="inlineStr">
        <is>
          <t>held by Christian Bartosch</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c r="AB2" s="7" t="n"/>
    </row>
    <row r="3">
      <c r="A3" s="5" t="inlineStr">
        <is>
          <t>ES-DIA-100-researched</t>
        </is>
      </c>
      <c r="B3" s="5" t="inlineStr">
        <is>
          <t>ES</t>
        </is>
      </c>
      <c r="C3" s="5" t="inlineStr">
        <is>
          <t>DIA</t>
        </is>
      </c>
      <c r="D3" s="5" t="n">
        <v>100</v>
      </c>
      <c r="E3" s="6" t="inlineStr">
        <is>
          <t>held by Christian Bartosch</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traced in review; REVIEWER_TRACED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is>
          <t>https://direct-telecom.es/internet/business_class_fibre/</t>
        </is>
      </c>
      <c r="U3" s="5" t="inlineStr">
        <is>
          <t>2025</t>
        </is>
      </c>
      <c r="V3" s="5" t="inlineStr">
        <is>
          <t>inditex</t>
        </is>
      </c>
      <c r="W3" s="12" t="n">
        <v>-2357511.18</v>
      </c>
      <c r="X3" s="5" t="n">
        <v>2072</v>
      </c>
      <c r="Y3" s="3" t="inlineStr">
        <is>
          <t>santander -1,760,707; fresenius -580,601; carrefour -16,203</t>
        </is>
      </c>
      <c r="Z3" s="3" t="inlineStr">
        <is>
          <t>no</t>
        </is>
      </c>
      <c r="AA3" s="3" t="inlineStr"/>
      <c r="AB3" s="7" t="inlineStr">
        <is>
          <t>https://direct-telecom.es/internet/business_class_fibre/</t>
        </is>
      </c>
    </row>
    <row r="4">
      <c r="A4" s="5" t="inlineStr">
        <is>
          <t>SG-DIA-100-researched</t>
        </is>
      </c>
      <c r="B4" s="5" t="inlineStr">
        <is>
          <t>SG</t>
        </is>
      </c>
      <c r="C4" s="5" t="inlineStr">
        <is>
          <t>DIA</t>
        </is>
      </c>
      <c r="D4" s="5" t="n">
        <v>100</v>
      </c>
      <c r="E4" s="6" t="inlineStr">
        <is>
          <t>held by Christian Bartosch</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c r="AB4" s="7" t="n"/>
    </row>
    <row r="5">
      <c r="A5" s="5" t="inlineStr">
        <is>
          <t>US-BROADBAND_PON-300-researched</t>
        </is>
      </c>
      <c r="B5" s="5" t="inlineStr">
        <is>
          <t>US</t>
        </is>
      </c>
      <c r="C5" s="5" t="inlineStr">
        <is>
          <t>BROADBAND_PON</t>
        </is>
      </c>
      <c r="D5" s="5" t="n">
        <v>300</v>
      </c>
      <c r="E5" s="6" t="inlineStr">
        <is>
          <t>held by Christian Bartosch</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c r="AB5" s="7" t="n"/>
    </row>
    <row r="6">
      <c r="A6" s="5" t="inlineStr">
        <is>
          <t>ZA-DIA-100-researched</t>
        </is>
      </c>
      <c r="B6" s="5" t="inlineStr">
        <is>
          <t>ZA</t>
        </is>
      </c>
      <c r="C6" s="5" t="inlineStr">
        <is>
          <t>DIA</t>
        </is>
      </c>
      <c r="D6" s="5" t="n">
        <v>100</v>
      </c>
      <c r="E6" s="6" t="inlineStr">
        <is>
          <t>held by Christian Bartosch</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c r="AB6" s="7" t="n"/>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traced in review; REVIEWER_TRACED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is>
          <t>https://www.swoop.com.au/business/nbn/</t>
        </is>
      </c>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c r="AB7" s="7" t="inlineStr">
        <is>
          <t>https://www.swoop.com.au/business/nbn/</t>
        </is>
      </c>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c r="AB8" s="7" t="n"/>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c r="AB9" s="7" t="n"/>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traced in review; REVIEWER_TRACED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is>
          <t>https://www.vocus.com.au/enterprise/internet-and-networks</t>
        </is>
      </c>
      <c r="U10" s="5" t="inlineStr">
        <is>
          <t>2025</t>
        </is>
      </c>
      <c r="V10" s="5" t="inlineStr">
        <is>
          <t>woolworths</t>
        </is>
      </c>
      <c r="W10" s="12" t="n">
        <v>-21538.53608108108</v>
      </c>
      <c r="X10" s="5" t="n">
        <v>30</v>
      </c>
      <c r="Y10" s="3" t="inlineStr">
        <is>
          <t>woolworths -21,539</t>
        </is>
      </c>
      <c r="Z10" s="3" t="inlineStr">
        <is>
          <t>no</t>
        </is>
      </c>
      <c r="AA10" s="3" t="inlineStr"/>
      <c r="AB10" s="7" t="inlineStr">
        <is>
          <t>https://www.vocus.com.au/enterprise/internet-and-networks</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c r="AB11" s="7" t="n"/>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c r="AB12" s="7" t="n"/>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-359538.4892202162</v>
      </c>
      <c r="X13" s="5" t="n">
        <v>24</v>
      </c>
      <c r="Y13" s="3" t="inlineStr">
        <is>
          <t>rio-tinto -325,779; woolworths -33,759</t>
        </is>
      </c>
      <c r="Z13" s="3" t="inlineStr">
        <is>
          <t>no</t>
        </is>
      </c>
      <c r="AA13" s="3" t="inlineStr">
        <is>
          <t>woolworths 699 AUD</t>
        </is>
      </c>
      <c r="AB13" s="7" t="n"/>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c r="AB14" s="7" t="n"/>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-92071.34274275</v>
      </c>
      <c r="X15" s="5" t="n">
        <v>62</v>
      </c>
      <c r="Y15" s="3" t="inlineStr">
        <is>
          <t>bnp-paribas -29,777; siemens -26,800; basf -8,933</t>
        </is>
      </c>
      <c r="Z15" s="3" t="inlineStr">
        <is>
          <t>500 Mbps at 1398 &gt; 1000 Mbps at 1378 USD</t>
        </is>
      </c>
      <c r="AA15" s="3" t="inlineStr">
        <is>
          <t>bnp-paribas ~1200 EUR</t>
        </is>
      </c>
      <c r="AB15" s="7" t="n"/>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c r="AB16" s="7" t="n"/>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c r="AB17" s="7" t="n"/>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c r="AB18" s="7" t="n"/>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c r="AB19" s="7" t="n"/>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traced in review; REVIEWER_TRACED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is>
          <t>https://www.virginmediabusiness.co.uk/connectivity/internet-access/business-broadband/</t>
        </is>
      </c>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c r="AB20" s="7" t="inlineStr">
        <is>
          <t>https://www.virginmediabusiness.co.uk/connectivity/internet-access/business-broadband/</t>
        </is>
      </c>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traced in review; REVIEWER_TRACED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is>
          <t>https://business.bt.com/products/broadband-and-internet/deals/</t>
        </is>
      </c>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c r="AB21" s="7" t="inlineStr">
        <is>
          <t>https://business.bt.com/products/broadband-and-internet/deals/</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c r="AB22" s="7" t="n"/>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c r="AB23" s="7" t="n"/>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c r="AB24" s="7" t="n"/>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c r="AB25" s="7" t="n"/>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-2826.54656</v>
      </c>
      <c r="X26" s="5" t="n">
        <v>13</v>
      </c>
      <c r="Y26" s="3" t="inlineStr">
        <is>
          <t>ahold-delhaize -2,174; fresenius -435; victorias-secret -217</t>
        </is>
      </c>
      <c r="Z26" s="3" t="inlineStr">
        <is>
          <t>250 Mbps at 162 &gt; 500 Mbps at 110 USD</t>
        </is>
      </c>
      <c r="AA26" s="3" t="inlineStr">
        <is>
          <t>ahold-delhaize 100 USD; ups 100 USD</t>
        </is>
      </c>
      <c r="AB26" s="7" t="n"/>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-13706874.740784</v>
      </c>
      <c r="X27" s="5" t="n">
        <v>17406</v>
      </c>
      <c r="Y27" s="3" t="inlineStr">
        <is>
          <t>mcdonalds -11,026,179; ahold-delhaize -1,096,373; ups -865,097</t>
        </is>
      </c>
      <c r="Z27" s="3" t="inlineStr">
        <is>
          <t>250 Mbps at 162 &gt; 500 Mbps at 110 USD</t>
        </is>
      </c>
      <c r="AA27" s="3" t="inlineStr">
        <is>
          <t>ahold-delhaize 110 USD; simmons-bank 100 USD</t>
        </is>
      </c>
      <c r="AB27" s="7" t="n"/>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c r="AB28" s="7" t="n"/>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291598.81184</v>
      </c>
      <c r="X29" s="5" t="n">
        <v>1774</v>
      </c>
      <c r="Y29" s="3" t="inlineStr">
        <is>
          <t>toyota +1,756; danone +2,107; bayer +3,512</t>
        </is>
      </c>
      <c r="Z29" s="3" t="inlineStr">
        <is>
          <t>250 Mbps at 114 &gt; 500 Mbps at 99 USD</t>
        </is>
      </c>
      <c r="AA29" s="3" t="inlineStr">
        <is>
          <t>volkswagen 100 USD</t>
        </is>
      </c>
      <c r="AB29" s="7" t="n"/>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c r="AB30" s="7" t="n"/>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412378.736</v>
      </c>
      <c r="X31" s="5" t="n">
        <v>2630</v>
      </c>
      <c r="Y31" s="3" t="inlineStr">
        <is>
          <t>victorias-secret +314; ahold-delhaize +3,920; fresenius +408,145</t>
        </is>
      </c>
      <c r="Z31" s="3" t="inlineStr">
        <is>
          <t>500 Mbps at 1242 &gt; 1000 Mbps at 901 USD</t>
        </is>
      </c>
      <c r="AA31" s="3" t="inlineStr">
        <is>
          <t>abb 492 USD; ahold-delhaize 333 USD; ahold-delhaize 492 USD; ahold-delhaize 641 USD; basf 492 USD; basf 625 USD; bayer 492 USD; fresenius 492 USD</t>
        </is>
      </c>
      <c r="AB31" s="7" t="n"/>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-1256051.2834</v>
      </c>
      <c r="X32" s="5" t="n">
        <v>383</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c r="AB32" s="7" t="n"/>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c r="AB33" s="7" t="n"/>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-340047.438102</v>
      </c>
      <c r="X34" s="5" t="n">
        <v>23</v>
      </c>
      <c r="Y34" s="3" t="inlineStr">
        <is>
          <t>capgemini -213,237; novartis -85,873; shell -33,693</t>
        </is>
      </c>
      <c r="Z34" s="3" t="inlineStr">
        <is>
          <t>9000 Mbps at 3267 &gt; 10000 Mbps at 1807 USD</t>
        </is>
      </c>
      <c r="AA34" s="3" t="inlineStr">
        <is>
          <t>simmons-bank 1807 USD</t>
        </is>
      </c>
      <c r="AB34" s="7" t="n"/>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c r="AB35" s="7" t="n"/>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traced in review; REVIEWER_TRACED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is>
          <t>https://www.nexthop.com.au/dedicated-internet-access/</t>
        </is>
      </c>
      <c r="U36" s="5" t="inlineStr">
        <is>
          <t>2025</t>
        </is>
      </c>
      <c r="V36" s="5" t="inlineStr">
        <is>
          <t>woolworths</t>
        </is>
      </c>
      <c r="W36" s="12" t="n">
        <v>0</v>
      </c>
      <c r="X36" s="5" t="n">
        <v>0</v>
      </c>
      <c r="Y36" s="3" t="inlineStr"/>
      <c r="Z36" s="3" t="inlineStr">
        <is>
          <t>no</t>
        </is>
      </c>
      <c r="AA36" s="3" t="inlineStr"/>
      <c r="AB36" s="7" t="inlineStr">
        <is>
          <t>https://www.nexthop.com.au/dedicated-internet-access/</t>
        </is>
      </c>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c r="AB37" s="7" t="n"/>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c r="AB38" s="7" t="n"/>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c r="AB39" s="7" t="n"/>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c r="AB40" s="7" t="n"/>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t>
        </is>
      </c>
      <c r="Q41" s="3" t="inlineStr"/>
      <c r="R41" s="5" t="inlineStr">
        <is>
          <t>traced in review; REVIEWER_TRACED</t>
        </is>
      </c>
      <c r="S41" s="3" t="inlineStr"/>
      <c r="T41" s="5" t="inlineStr">
        <is>
          <t>https://direct-telecom.es/internet/business_class_fibre/</t>
        </is>
      </c>
      <c r="U41" s="5" t="inlineStr">
        <is>
          <t>2025</t>
        </is>
      </c>
      <c r="V41" s="5" t="inlineStr">
        <is>
          <t>carrefour</t>
        </is>
      </c>
      <c r="W41" s="12" t="n">
        <v>0</v>
      </c>
      <c r="X41" s="5" t="n">
        <v>0</v>
      </c>
      <c r="Y41" s="3" t="inlineStr"/>
      <c r="Z41" s="3" t="inlineStr">
        <is>
          <t>no</t>
        </is>
      </c>
      <c r="AA41" s="3" t="inlineStr"/>
      <c r="AB41" s="7" t="inlineStr">
        <is>
          <t>https://direct-telecom.es/internet/business_class_fibre/</t>
        </is>
      </c>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traced in review; REVIEWER_TRACED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is>
          <t>https://direct-telecom.es/internet/business_class_fibre/</t>
        </is>
      </c>
      <c r="U42" s="5" t="inlineStr">
        <is>
          <t>2025</t>
        </is>
      </c>
      <c r="V42" s="5" t="inlineStr">
        <is>
          <t>inditex</t>
        </is>
      </c>
      <c r="W42" s="12" t="n">
        <v>-229632.48</v>
      </c>
      <c r="X42" s="5" t="n">
        <v>28</v>
      </c>
      <c r="Y42" s="3" t="inlineStr">
        <is>
          <t>iberdrola -164,023; volkswagen -65,609</t>
        </is>
      </c>
      <c r="Z42" s="3" t="inlineStr">
        <is>
          <t>500 Mbps at 574 &gt; 1000 Mbps at 515 USD</t>
        </is>
      </c>
      <c r="AA42" s="3" t="inlineStr"/>
      <c r="AB42" s="7" t="inlineStr">
        <is>
          <t>https://direct-telecom.es/internet/business_class_fibre/</t>
        </is>
      </c>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-725746.5878903648</v>
      </c>
      <c r="X43" s="5" t="n">
        <v>1788</v>
      </c>
      <c r="Y43" s="3" t="inlineStr">
        <is>
          <t>bnp-paribas -509,835; heidelberg-materials -93,018; allianz -69,541</t>
        </is>
      </c>
      <c r="Z43" s="3" t="inlineStr">
        <is>
          <t>50 Mbps at 56 &gt; 100 Mbps at 30 USD</t>
        </is>
      </c>
      <c r="AA43" s="3" t="inlineStr">
        <is>
          <t>air-france-klm 20 EUR; air-france-klm 36 EUR; air-france-klm 26.12 EUR</t>
        </is>
      </c>
      <c r="AB43" s="7" t="n"/>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c r="AB44" s="7" t="n"/>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traced in review; REVIEWER_TRACED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is>
          <t>https://business.bt.com/products/broadband-and-internet/deals/</t>
        </is>
      </c>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c r="AB45" s="7" t="inlineStr">
        <is>
          <t>https://business.bt.com/products/broadband-and-internet/deals/</t>
        </is>
      </c>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c r="AB46" s="7" t="n"/>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c r="AB47" s="7" t="n"/>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c r="AB48" s="7" t="n"/>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c r="AB49" s="7" t="n"/>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c r="AB50" s="7" t="n"/>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c r="AB51" s="7" t="n"/>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c r="AB52" s="7" t="n"/>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-1683785.43322319</v>
      </c>
      <c r="X53" s="5" t="n">
        <v>351</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c r="AB53" s="7" t="n"/>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c r="AB54" s="7" t="n"/>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c r="AB55" s="7" t="n"/>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c r="AB56" s="7" t="n"/>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c r="AB57" s="7" t="n"/>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c r="AB58" s="7" t="n"/>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c r="AB59" s="7" t="n"/>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c r="AB60" s="7" t="n"/>
    </row>
  </sheetData>
  <autoFilter ref="A1:AB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-412766.4661391351</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-92071.34274275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-17494488.892576</v>
      </c>
      <c r="F23" s="16" t="n">
        <v>0</v>
      </c>
    </row>
    <row r="24">
      <c r="A24" s="15" t="inlineStr">
        <is>
          <t>US</t>
        </is>
      </c>
      <c r="B24" s="15" t="inlineStr">
        <is>
          <t>BROADBAND_PON</t>
        </is>
      </c>
      <c r="C24" s="15" t="inlineStr">
        <is>
          <t>100, 500</t>
        </is>
      </c>
      <c r="D24" s="15" t="inlineStr">
        <is>
          <t>300</t>
        </is>
      </c>
      <c r="E24" s="16" t="n">
        <v>213636.4444155</v>
      </c>
      <c r="F24" s="16" t="n">
        <v>-39654.109668</v>
      </c>
    </row>
    <row r="25">
      <c r="A25" s="15" t="inlineStr">
        <is>
          <t>US</t>
        </is>
      </c>
      <c r="B25" s="15" t="inlineStr">
        <is>
          <t>DIA</t>
        </is>
      </c>
      <c r="C25" s="15" t="inlineStr">
        <is>
          <t>100, 1000, 10000</t>
        </is>
      </c>
      <c r="D25" s="15" t="inlineStr">
        <is>
          <t>-</t>
        </is>
      </c>
      <c r="E25" s="16" t="n">
        <v>-532114.9174</v>
      </c>
      <c r="F25" s="16" t="n">
        <v>0</v>
      </c>
    </row>
    <row r="26">
      <c r="A26" s="15" t="inlineStr">
        <is>
          <t>US</t>
        </is>
      </c>
      <c r="B26" s="15" t="inlineStr">
        <is>
          <t>ETHERNET</t>
        </is>
      </c>
      <c r="C26" s="15" t="inlineStr">
        <is>
          <t>10000</t>
        </is>
      </c>
      <c r="D26" s="15" t="inlineStr">
        <is>
          <t>-</t>
        </is>
      </c>
      <c r="E26" s="16" t="n">
        <v>-340047.438102</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64373238.5</v>
      </c>
      <c r="C2" s="16" t="n">
        <v>-16128633.003194</v>
      </c>
      <c r="D2" s="19">
        <f>IF(B2=0,"",C2/B2)</f>
        <v/>
      </c>
      <c r="E2" s="16" t="n">
        <v>0</v>
      </c>
    </row>
    <row r="3">
      <c r="A3" s="15" t="inlineStr">
        <is>
          <t>tesco</t>
        </is>
      </c>
      <c r="B3" s="16" t="n">
        <v>18559919.66</v>
      </c>
      <c r="C3" s="16" t="n">
        <v>-2729944.141842423</v>
      </c>
      <c r="D3" s="19">
        <f>IF(B3=0,"",C3/B3)</f>
        <v/>
      </c>
      <c r="E3" s="16" t="n">
        <v>0</v>
      </c>
    </row>
    <row r="4">
      <c r="A4" s="15" t="inlineStr">
        <is>
          <t>boots</t>
        </is>
      </c>
      <c r="B4" s="16" t="n">
        <v>9245582.4</v>
      </c>
      <c r="C4" s="16" t="n">
        <v>-1535238.860845505</v>
      </c>
      <c r="D4" s="19">
        <f>IF(B4=0,"",C4/B4)</f>
        <v/>
      </c>
      <c r="E4" s="16" t="n">
        <v>0</v>
      </c>
    </row>
    <row r="5">
      <c r="A5" s="15" t="inlineStr">
        <is>
          <t>woolworths</t>
        </is>
      </c>
      <c r="B5" s="16" t="n">
        <v>4555047.9</v>
      </c>
      <c r="C5" s="16" t="n">
        <v>-1109363.289657432</v>
      </c>
      <c r="D5" s="19">
        <f>IF(B5=0,"",C5/B5)</f>
        <v/>
      </c>
      <c r="E5" s="16" t="n">
        <v>0</v>
      </c>
    </row>
    <row r="6">
      <c r="A6" s="15" t="inlineStr">
        <is>
          <t>ahold-delhaize</t>
        </is>
      </c>
      <c r="B6" s="16" t="n">
        <v>26370921.61</v>
      </c>
      <c r="C6" s="16" t="n">
        <v>-1101872.46</v>
      </c>
      <c r="D6" s="19">
        <f>IF(B6=0,"",C6/B6)</f>
        <v/>
      </c>
      <c r="E6" s="16" t="n">
        <v>0</v>
      </c>
    </row>
    <row r="7">
      <c r="A7" s="15" t="inlineStr">
        <is>
          <t>ups</t>
        </is>
      </c>
      <c r="B7" s="16" t="n">
        <v>21800367.18</v>
      </c>
      <c r="C7" s="16" t="n">
        <v>-865096.7969280001</v>
      </c>
      <c r="D7" s="19">
        <f>IF(B7=0,"",C7/B7)</f>
        <v/>
      </c>
      <c r="E7" s="16" t="n">
        <v>0</v>
      </c>
    </row>
    <row r="8">
      <c r="A8" s="15" t="inlineStr">
        <is>
          <t>victorias-secret</t>
        </is>
      </c>
      <c r="B8" s="16" t="n">
        <v>3771034.76</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13256072.84</v>
      </c>
      <c r="C10" s="16" t="n">
        <v>-352654.44</v>
      </c>
      <c r="D10" s="19">
        <f>IF(B10=0,"",C10/B10)</f>
        <v/>
      </c>
      <c r="E10" s="16" t="n">
        <v>0</v>
      </c>
    </row>
    <row r="11">
      <c r="A11" s="15" t="inlineStr">
        <is>
          <t>rio-tinto</t>
        </is>
      </c>
      <c r="B11" s="16" t="n">
        <v>1280285.63</v>
      </c>
      <c r="C11" s="16" t="n">
        <v>-325779.108779</v>
      </c>
      <c r="D11" s="19">
        <f>IF(B11=0,"",C11/B11)</f>
        <v/>
      </c>
      <c r="E11" s="16" t="n">
        <v>0</v>
      </c>
    </row>
    <row r="12">
      <c r="A12" s="15" t="inlineStr">
        <is>
          <t>iberdrola</t>
        </is>
      </c>
      <c r="B12" s="16" t="n">
        <v>11944953.9</v>
      </c>
      <c r="C12" s="16" t="n">
        <v>-243421.43</v>
      </c>
      <c r="D12" s="19">
        <f>IF(B12=0,"",C12/B12)</f>
        <v/>
      </c>
      <c r="E12" s="16" t="n">
        <v>0</v>
      </c>
    </row>
    <row r="13">
      <c r="A13" s="15" t="inlineStr">
        <is>
          <t>network-rail</t>
        </is>
      </c>
      <c r="B13" s="16" t="n">
        <v>5323039.23</v>
      </c>
      <c r="C13" s="16" t="n">
        <v>-216374.5984898834</v>
      </c>
      <c r="D13" s="19">
        <f>IF(B13=0,"",C13/B13)</f>
        <v/>
      </c>
      <c r="E13" s="16" t="n">
        <v>0</v>
      </c>
    </row>
    <row r="14">
      <c r="A14" s="15" t="inlineStr">
        <is>
          <t>novartis</t>
        </is>
      </c>
      <c r="B14" s="16" t="n">
        <v>4375267.77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5682427.54</v>
      </c>
      <c r="C16" s="16" t="n">
        <v>-88014.36</v>
      </c>
      <c r="D16" s="19">
        <f>IF(B16=0,"",C16/B16)</f>
        <v/>
      </c>
      <c r="E16" s="16" t="n">
        <v>0</v>
      </c>
    </row>
    <row r="17">
      <c r="A17" s="15" t="inlineStr">
        <is>
          <t>nestle</t>
        </is>
      </c>
      <c r="B17" s="16" t="n">
        <v>11574896.57</v>
      </c>
      <c r="C17" s="16" t="n">
        <v>-85349.23468125</v>
      </c>
      <c r="D17" s="19">
        <f>IF(B17=0,"",C17/B17)</f>
        <v/>
      </c>
      <c r="E17" s="16" t="n">
        <v>0</v>
      </c>
    </row>
    <row r="18">
      <c r="A18" s="15" t="inlineStr">
        <is>
          <t>unilever</t>
        </is>
      </c>
      <c r="B18" s="16" t="n">
        <v>4715427.64</v>
      </c>
      <c r="C18" s="16" t="n">
        <v>-67713.11</v>
      </c>
      <c r="D18" s="19">
        <f>IF(B18=0,"",C18/B18)</f>
        <v/>
      </c>
      <c r="E18" s="16" t="n">
        <v>0</v>
      </c>
    </row>
    <row r="19">
      <c r="A19" s="15" t="inlineStr">
        <is>
          <t>santander</t>
        </is>
      </c>
      <c r="B19" s="16" t="n">
        <v>17344095.44</v>
      </c>
      <c r="C19" s="16" t="n">
        <v>-57957.48</v>
      </c>
      <c r="D19" s="19">
        <f>IF(B19=0,"",C19/B19)</f>
        <v/>
      </c>
      <c r="E19" s="16" t="n">
        <v>-1760707.09</v>
      </c>
    </row>
    <row r="20">
      <c r="A20" s="15" t="inlineStr">
        <is>
          <t>volkswagen</t>
        </is>
      </c>
      <c r="B20" s="16" t="n">
        <v>6178316.33</v>
      </c>
      <c r="C20" s="16" t="n">
        <v>-48420.69</v>
      </c>
      <c r="D20" s="19">
        <f>IF(B20=0,"",C20/B20)</f>
        <v/>
      </c>
      <c r="E20" s="16" t="n">
        <v>0</v>
      </c>
    </row>
    <row r="21">
      <c r="A21" s="15" t="inlineStr">
        <is>
          <t>unfi</t>
        </is>
      </c>
      <c r="B21" s="16" t="n">
        <v>1885106.05</v>
      </c>
      <c r="C21" s="16" t="n">
        <v>-38354.045184</v>
      </c>
      <c r="D21" s="19">
        <f>IF(B21=0,"",C21/B21)</f>
        <v/>
      </c>
      <c r="E21" s="16" t="n">
        <v>0</v>
      </c>
    </row>
    <row r="22">
      <c r="A22" s="15" t="inlineStr">
        <is>
          <t>maersk</t>
        </is>
      </c>
      <c r="B22" s="16" t="n">
        <v>3746918.52</v>
      </c>
      <c r="C22" s="16" t="n">
        <v>-37288.65504</v>
      </c>
      <c r="D22" s="19">
        <f>IF(B22=0,"",C22/B22)</f>
        <v/>
      </c>
      <c r="E22" s="16" t="n">
        <v>0</v>
      </c>
    </row>
    <row r="23">
      <c r="A23" s="15" t="inlineStr">
        <is>
          <t>bayer</t>
        </is>
      </c>
      <c r="B23" s="16" t="n">
        <v>3021889.27</v>
      </c>
      <c r="C23" s="16" t="n">
        <v>-34035.61</v>
      </c>
      <c r="D23" s="19">
        <f>IF(B23=0,"",C23/B23)</f>
        <v/>
      </c>
      <c r="E23" s="16" t="n">
        <v>0</v>
      </c>
    </row>
    <row r="24">
      <c r="A24" s="15" t="inlineStr">
        <is>
          <t>shell</t>
        </is>
      </c>
      <c r="B24" s="16" t="n">
        <v>12212852.21</v>
      </c>
      <c r="C24" s="16" t="n">
        <v>-33693.120102</v>
      </c>
      <c r="D24" s="19">
        <f>IF(B24=0,"",C24/B24)</f>
        <v/>
      </c>
      <c r="E24" s="16" t="n">
        <v>0</v>
      </c>
    </row>
    <row r="25">
      <c r="A25" s="15" t="inlineStr">
        <is>
          <t>bnp-paribas</t>
        </is>
      </c>
      <c r="B25" s="16" t="n">
        <v>31720124.84</v>
      </c>
      <c r="C25" s="16" t="n">
        <v>-29777.28</v>
      </c>
      <c r="D25" s="19">
        <f>IF(B25=0,"",C25/B25)</f>
        <v/>
      </c>
      <c r="E25" s="16" t="n">
        <v>0</v>
      </c>
    </row>
    <row r="26">
      <c r="A26" s="15" t="inlineStr">
        <is>
          <t>toyota</t>
        </is>
      </c>
      <c r="B26" s="16" t="n">
        <v>2762186.59</v>
      </c>
      <c r="C26" s="16" t="n">
        <v>-17558.74610201351</v>
      </c>
      <c r="D26" s="19">
        <f>IF(B26=0,"",C26/B26)</f>
        <v/>
      </c>
      <c r="E26" s="16" t="n">
        <v>0</v>
      </c>
    </row>
    <row r="27">
      <c r="A27" s="15" t="inlineStr">
        <is>
          <t>royal-mail</t>
        </is>
      </c>
      <c r="B27" s="16" t="n">
        <v>7505983.84</v>
      </c>
      <c r="C27" s="16" t="n">
        <v>-16153.23812273885</v>
      </c>
      <c r="D27" s="19">
        <f>IF(B27=0,"",C27/B27)</f>
        <v/>
      </c>
      <c r="E27" s="16" t="n">
        <v>0</v>
      </c>
    </row>
    <row r="28">
      <c r="A28" s="15" t="inlineStr">
        <is>
          <t>michelin</t>
        </is>
      </c>
      <c r="B28" s="16" t="n">
        <v>2794187.67</v>
      </c>
      <c r="C28" s="16" t="n">
        <v>-11036.04</v>
      </c>
      <c r="D28" s="19">
        <f>IF(B28=0,"",C28/B28)</f>
        <v/>
      </c>
      <c r="E28" s="16" t="n">
        <v>0</v>
      </c>
    </row>
    <row r="29">
      <c r="A29" s="15" t="inlineStr">
        <is>
          <t>abb</t>
        </is>
      </c>
      <c r="B29" s="16" t="n">
        <v>1155482.62</v>
      </c>
      <c r="C29" s="16" t="n">
        <v>-8419.634472</v>
      </c>
      <c r="D29" s="19">
        <f>IF(B29=0,"",C29/B29)</f>
        <v/>
      </c>
      <c r="E29" s="16" t="n">
        <v>0</v>
      </c>
    </row>
    <row r="30">
      <c r="A30" s="15" t="inlineStr">
        <is>
          <t>accor</t>
        </is>
      </c>
      <c r="B30" s="16" t="n">
        <v>8636746.560000001</v>
      </c>
      <c r="C30" s="16" t="n">
        <v>-7444.32</v>
      </c>
      <c r="D30" s="19">
        <f>IF(B30=0,"",C30/B30)</f>
        <v/>
      </c>
      <c r="E30" s="16" t="n">
        <v>0</v>
      </c>
    </row>
    <row r="31">
      <c r="A31" s="15" t="inlineStr">
        <is>
          <t>henkel</t>
        </is>
      </c>
      <c r="B31" s="16" t="n">
        <v>704177.1899999999</v>
      </c>
      <c r="C31" s="16" t="n">
        <v>-7429.09</v>
      </c>
      <c r="D31" s="19">
        <f>IF(B31=0,"",C31/B31)</f>
        <v/>
      </c>
      <c r="E31" s="16" t="n">
        <v>0</v>
      </c>
    </row>
    <row r="32">
      <c r="A32" s="15" t="inlineStr">
        <is>
          <t>danone</t>
        </is>
      </c>
      <c r="B32" s="16" t="n">
        <v>3135858.92</v>
      </c>
      <c r="C32" s="16" t="n">
        <v>-7279.6</v>
      </c>
      <c r="D32" s="19">
        <f>IF(B32=0,"",C32/B32)</f>
        <v/>
      </c>
      <c r="E32" s="16" t="n">
        <v>0</v>
      </c>
    </row>
    <row r="33">
      <c r="A33" s="15" t="inlineStr">
        <is>
          <t>saint-gobain</t>
        </is>
      </c>
      <c r="B33" s="16" t="n">
        <v>21144690.36</v>
      </c>
      <c r="C33" s="16" t="n">
        <v>-5967.71</v>
      </c>
      <c r="D33" s="19">
        <f>IF(B33=0,"",C33/B33)</f>
        <v/>
      </c>
      <c r="E33" s="16" t="n">
        <v>0</v>
      </c>
    </row>
    <row r="34">
      <c r="A34" s="15" t="inlineStr">
        <is>
          <t>air-france-klm</t>
        </is>
      </c>
      <c r="B34" s="16" t="n">
        <v>1048273.87</v>
      </c>
      <c r="C34" s="16" t="n">
        <v>-2977.73</v>
      </c>
      <c r="D34" s="19">
        <f>IF(B34=0,"",C34/B34)</f>
        <v/>
      </c>
      <c r="E34" s="16" t="n">
        <v>0</v>
      </c>
    </row>
    <row r="35">
      <c r="A35" s="15" t="inlineStr">
        <is>
          <t>dbs</t>
        </is>
      </c>
      <c r="B35" s="16" t="n">
        <v>11182416.1</v>
      </c>
      <c r="C35" s="16" t="n">
        <v>-2199.09195</v>
      </c>
      <c r="D35" s="19">
        <f>IF(B35=0,"",C35/B35)</f>
        <v/>
      </c>
      <c r="E35" s="16" t="n">
        <v>0</v>
      </c>
    </row>
    <row r="36">
      <c r="A36" s="15" t="inlineStr">
        <is>
          <t>totalenergies</t>
        </is>
      </c>
      <c r="B36" s="16" t="n">
        <v>10952685.28</v>
      </c>
      <c r="C36" s="16" t="n">
        <v>-1369.752484</v>
      </c>
      <c r="D36" s="19">
        <f>IF(B36=0,"",C36/B36)</f>
        <v/>
      </c>
      <c r="E36" s="16" t="n">
        <v>0</v>
      </c>
    </row>
    <row r="37">
      <c r="A37" s="15" t="inlineStr">
        <is>
          <t>anglo-american</t>
        </is>
      </c>
      <c r="B37" s="16" t="n">
        <v>373299.77</v>
      </c>
      <c r="C37" s="16" t="n">
        <v>0</v>
      </c>
      <c r="D37" s="19">
        <f>IF(B37=0,"",C37/B37)</f>
        <v/>
      </c>
      <c r="E37" s="16" t="n">
        <v>-16474.2432</v>
      </c>
    </row>
    <row r="38">
      <c r="A38" s="15" t="inlineStr">
        <is>
          <t>carrefour</t>
        </is>
      </c>
      <c r="B38" s="16" t="n">
        <v>39261279.64</v>
      </c>
      <c r="C38" s="16" t="n">
        <v>0</v>
      </c>
      <c r="D38" s="19">
        <f>IF(B38=0,"",C38/B38)</f>
        <v/>
      </c>
      <c r="E38" s="16" t="n">
        <v>-16202.83</v>
      </c>
    </row>
    <row r="39">
      <c r="A39" s="15" t="inlineStr">
        <is>
          <t>heidelberg-materials</t>
        </is>
      </c>
      <c r="B39" s="16" t="n">
        <v>6180379.39</v>
      </c>
      <c r="C39" s="16" t="n">
        <v>3213.97</v>
      </c>
      <c r="D39" s="19">
        <f>IF(B39=0,"",C39/B39)</f>
        <v/>
      </c>
      <c r="E39" s="16" t="n">
        <v>0</v>
      </c>
    </row>
    <row r="40">
      <c r="A40" s="15" t="inlineStr">
        <is>
          <t>capgemini</t>
        </is>
      </c>
      <c r="B40" s="16" t="n">
        <v>7336776.19</v>
      </c>
      <c r="C40" s="16" t="n">
        <v>98321.07000000001</v>
      </c>
      <c r="D40" s="19">
        <f>IF(B40=0,"",C40/B40)</f>
        <v/>
      </c>
      <c r="E40" s="16" t="n">
        <v>0</v>
      </c>
    </row>
    <row r="41">
      <c r="A41" s="15" t="inlineStr">
        <is>
          <t>fresenius</t>
        </is>
      </c>
      <c r="B41" s="16" t="n">
        <v>33131566.93</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2026-10-28T12:54:19Z</dcterms:created>
  <dcterms:modified xsi:type="dcterms:W3CDTF">2026-10-28T12:54:19Z</dcterms:modified>
</cp:coreProperties>
</file>